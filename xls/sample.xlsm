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690" windowWidth="28740" windowHeight="12195" activeTab="1"/>
  </bookViews>
  <sheets>
    <sheet name="documentation" sheetId="12" r:id="rId1"/>
    <sheet name="model" sheetId="10" r:id="rId2"/>
    <sheet name="series" sheetId="8" r:id="rId3"/>
    <sheet name="adjustments" sheetId="13" r:id="rId4"/>
    <sheet name="ratingmap" sheetId="14" r:id="rId5"/>
  </sheets>
  <functionGroups builtInGroupCount="17"/>
  <definedNames>
    <definedName name="DefaultRatios">#REF!</definedName>
    <definedName name="SeriesTypes">#REF!</definedName>
    <definedName name="xdefaultratios">#REF!</definedName>
  </definedNames>
  <calcPr calcId="145621"/>
</workbook>
</file>

<file path=xl/calcChain.xml><?xml version="1.0" encoding="utf-8"?>
<calcChain xmlns="http://schemas.openxmlformats.org/spreadsheetml/2006/main">
  <c r="K16" i="8" l="1"/>
  <c r="K19" i="8"/>
  <c r="K17" i="8"/>
  <c r="K41" i="8"/>
  <c r="AP13" i="8"/>
  <c r="AO13" i="8"/>
  <c r="AN13" i="8"/>
  <c r="AM13" i="8"/>
  <c r="AL13" i="8"/>
  <c r="AK13" i="8"/>
  <c r="AJ13" i="8"/>
  <c r="AI13" i="8"/>
  <c r="AH13" i="8"/>
  <c r="AG13" i="8"/>
  <c r="AF13" i="8"/>
  <c r="AE13" i="8"/>
  <c r="AD13" i="8"/>
  <c r="AC13" i="8"/>
  <c r="AB13" i="8"/>
  <c r="AA13" i="8"/>
  <c r="Z13" i="8"/>
  <c r="Y13" i="8"/>
  <c r="X13" i="8"/>
  <c r="W13" i="8"/>
  <c r="V13" i="8"/>
  <c r="U13" i="8"/>
  <c r="T13" i="8"/>
  <c r="S13" i="8"/>
  <c r="R13" i="8"/>
  <c r="Q13" i="8"/>
  <c r="P13" i="8"/>
  <c r="O13" i="8"/>
  <c r="N13" i="8"/>
  <c r="M13" i="8"/>
  <c r="L13" i="8"/>
  <c r="AP12" i="8"/>
  <c r="AO12" i="8"/>
  <c r="AN12" i="8"/>
  <c r="AM12" i="8"/>
  <c r="AL12" i="8"/>
  <c r="AK12" i="8"/>
  <c r="AJ12" i="8"/>
  <c r="AI12" i="8"/>
  <c r="AH12" i="8"/>
  <c r="AG12" i="8"/>
  <c r="AF12" i="8"/>
  <c r="AE12" i="8"/>
  <c r="AD12" i="8"/>
  <c r="AC12" i="8"/>
  <c r="AB12" i="8"/>
  <c r="AA12" i="8"/>
  <c r="Z12" i="8"/>
  <c r="Y12" i="8"/>
  <c r="X12" i="8"/>
  <c r="W12" i="8"/>
  <c r="V12" i="8"/>
  <c r="U12" i="8"/>
  <c r="T12" i="8"/>
  <c r="S12" i="8"/>
  <c r="R12" i="8"/>
  <c r="Q12" i="8"/>
  <c r="P12" i="8"/>
  <c r="O12" i="8"/>
  <c r="N12" i="8"/>
  <c r="M12" i="8"/>
  <c r="L12" i="8"/>
  <c r="K12" i="8"/>
  <c r="K13" i="8"/>
  <c r="K36" i="8"/>
  <c r="K42" i="8" s="1"/>
  <c r="K25" i="8"/>
  <c r="AF23" i="14" l="1"/>
  <c r="AE23" i="14"/>
  <c r="AD23" i="14"/>
  <c r="AC23" i="14"/>
  <c r="AB23" i="14"/>
  <c r="AA23" i="14"/>
  <c r="Z23" i="14"/>
  <c r="Y23" i="14"/>
  <c r="X23" i="14"/>
  <c r="W23" i="14"/>
  <c r="V23" i="14"/>
  <c r="U23" i="14"/>
  <c r="T23" i="14"/>
  <c r="S23" i="14"/>
  <c r="R23" i="14"/>
  <c r="Q23" i="14"/>
  <c r="P23" i="14"/>
  <c r="O23" i="14"/>
  <c r="N23" i="14"/>
  <c r="M23" i="14"/>
  <c r="L23" i="14"/>
  <c r="K23" i="14"/>
  <c r="J23" i="14"/>
  <c r="I23" i="14"/>
  <c r="H23" i="14"/>
  <c r="G23" i="14"/>
  <c r="F23" i="14"/>
  <c r="E23" i="14"/>
  <c r="D23" i="14"/>
  <c r="C23" i="14"/>
  <c r="B23" i="14"/>
  <c r="AF22" i="14"/>
  <c r="AF21" i="14"/>
  <c r="AF20" i="14"/>
  <c r="AF19" i="14"/>
  <c r="AF18" i="14"/>
  <c r="AF17" i="14"/>
  <c r="AF16" i="14"/>
  <c r="AF15" i="14"/>
  <c r="AF14" i="14"/>
  <c r="AF13" i="14"/>
  <c r="AF12" i="14"/>
  <c r="AF11" i="14"/>
  <c r="AF10" i="14"/>
  <c r="AF9" i="14"/>
  <c r="AF8" i="14"/>
  <c r="AF7" i="14"/>
  <c r="AF6" i="14"/>
  <c r="AF5" i="14"/>
  <c r="AF4" i="14"/>
  <c r="AF24" i="14" l="1"/>
  <c r="AE24" i="14"/>
  <c r="AD24" i="14"/>
  <c r="AC24" i="14"/>
  <c r="AB24" i="14"/>
  <c r="AA24" i="14"/>
  <c r="Z24" i="14"/>
  <c r="Y24" i="14"/>
  <c r="X24" i="14"/>
  <c r="W24" i="14"/>
  <c r="V24" i="14"/>
  <c r="U24" i="14"/>
  <c r="T24" i="14"/>
  <c r="S24" i="14"/>
  <c r="R24" i="14"/>
  <c r="Q24" i="14"/>
  <c r="P24" i="14"/>
  <c r="O24" i="14"/>
  <c r="N24" i="14"/>
  <c r="M24" i="14"/>
  <c r="L24" i="14"/>
  <c r="K24" i="14"/>
  <c r="J24" i="14"/>
  <c r="I24" i="14"/>
  <c r="H24" i="14"/>
  <c r="G24" i="14"/>
  <c r="F24" i="14"/>
  <c r="E24" i="14"/>
  <c r="D24" i="14"/>
  <c r="C24" i="14"/>
  <c r="AG23" i="14"/>
  <c r="AG22" i="14"/>
  <c r="AG21" i="14"/>
  <c r="AG20" i="14"/>
  <c r="AG19" i="14"/>
  <c r="AG18" i="14"/>
  <c r="AG17" i="14"/>
  <c r="AG16" i="14"/>
  <c r="AG15" i="14"/>
  <c r="AG14" i="14"/>
  <c r="AG13" i="14"/>
  <c r="AG12" i="14"/>
  <c r="AG11" i="14"/>
  <c r="AG10" i="14"/>
  <c r="AG9" i="14"/>
  <c r="AG8" i="14"/>
  <c r="AG7" i="14"/>
  <c r="AG6" i="14"/>
  <c r="AG5" i="14"/>
  <c r="AG4" i="14"/>
  <c r="AG3" i="14"/>
  <c r="AF3" i="14"/>
  <c r="AE3" i="14"/>
  <c r="AD3" i="14"/>
  <c r="AC3" i="14"/>
  <c r="AB3" i="14"/>
  <c r="AA3" i="14"/>
  <c r="Z3" i="14"/>
  <c r="Y3" i="14"/>
  <c r="X3" i="14"/>
  <c r="W3" i="14"/>
  <c r="V3" i="14"/>
  <c r="U3" i="14"/>
  <c r="T3" i="14"/>
  <c r="S3" i="14"/>
  <c r="R3" i="14"/>
  <c r="Q3" i="14"/>
  <c r="P3" i="14"/>
  <c r="O3" i="14"/>
  <c r="N3" i="14"/>
  <c r="M3" i="14"/>
  <c r="L3" i="14"/>
  <c r="K3" i="14"/>
  <c r="J3" i="14"/>
  <c r="I3" i="14"/>
  <c r="H3" i="14"/>
  <c r="G3" i="14"/>
  <c r="F3" i="14"/>
  <c r="E3" i="14"/>
  <c r="D3" i="14"/>
  <c r="C3" i="14"/>
  <c r="E11" i="10" l="1"/>
</calcChain>
</file>

<file path=xl/sharedStrings.xml><?xml version="1.0" encoding="utf-8"?>
<sst xmlns="http://schemas.openxmlformats.org/spreadsheetml/2006/main" count="541" uniqueCount="340">
  <si>
    <t>Debt/GDP</t>
  </si>
  <si>
    <t>Interest Expense/Total Revenue</t>
  </si>
  <si>
    <t>Government Entity</t>
  </si>
  <si>
    <t>Model Description</t>
  </si>
  <si>
    <t>Initial Year</t>
  </si>
  <si>
    <t>Number of Trials</t>
  </si>
  <si>
    <t>Parameter Name</t>
  </si>
  <si>
    <t>Parameter Value</t>
  </si>
  <si>
    <t>Series Name</t>
  </si>
  <si>
    <t>Series Type</t>
  </si>
  <si>
    <t>Expenditure</t>
  </si>
  <si>
    <t>Revenue</t>
  </si>
  <si>
    <t>Macroeconomic</t>
  </si>
  <si>
    <t>Debt</t>
  </si>
  <si>
    <t>Currency</t>
  </si>
  <si>
    <t>GDP</t>
  </si>
  <si>
    <t>Total Population</t>
  </si>
  <si>
    <t>Series Description</t>
  </si>
  <si>
    <t>totpop</t>
  </si>
  <si>
    <t>inflation</t>
  </si>
  <si>
    <t>corpinctax</t>
  </si>
  <si>
    <t>Corporate Income Tax</t>
  </si>
  <si>
    <t>othrev</t>
  </si>
  <si>
    <t>Other Revenues</t>
  </si>
  <si>
    <t>debt</t>
  </si>
  <si>
    <t>Surplus or Deficit</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</si>
  <si>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</si>
  <si>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</si>
  <si>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</si>
  <si>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</si>
  <si>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</si>
  <si>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</si>
  <si>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</si>
  <si>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</si>
  <si>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</si>
  <si>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</si>
  <si>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</si>
  <si>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</si>
  <si>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</si>
  <si>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</si>
  <si>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</si>
  <si>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</si>
  <si>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</si>
  <si>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</si>
  <si>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</si>
  <si>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</si>
  <si>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</si>
  <si>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</si>
  <si>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</si>
  <si>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</si>
  <si>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</si>
  <si>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</si>
  <si>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</si>
  <si>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</si>
  <si>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</si>
  <si>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</si>
  <si>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</si>
  <si>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Projection Years</t>
  </si>
  <si>
    <t>Random Numbers</t>
  </si>
  <si>
    <t>Minimum</t>
  </si>
  <si>
    <t>Maximum</t>
  </si>
  <si>
    <t>Projection Comments</t>
  </si>
  <si>
    <t>totrev</t>
  </si>
  <si>
    <t>Total Revenues</t>
  </si>
  <si>
    <t>Total Expenditures</t>
  </si>
  <si>
    <t>Nominal GDP</t>
  </si>
  <si>
    <t>Sum of all expediture categories</t>
  </si>
  <si>
    <t>Sum of all revenue categories</t>
  </si>
  <si>
    <t>Total revenues less total expenditures</t>
  </si>
  <si>
    <t>Prior Year Debt Minus Surplus or Deficit</t>
  </si>
  <si>
    <t>General Inflation</t>
  </si>
  <si>
    <t>healthinflation</t>
  </si>
  <si>
    <t>Health Care Cost Inflation</t>
  </si>
  <si>
    <t>Health Care Cost Index</t>
  </si>
  <si>
    <t>Prior Year GDP Plus GDPGrowth</t>
  </si>
  <si>
    <t>Prior Year Price Index Plus Inflation</t>
  </si>
  <si>
    <t>Prior Year Health Cost Index Plus Health Inflation</t>
  </si>
  <si>
    <t>GDPgrowth</t>
  </si>
  <si>
    <t>Real GDP Growth</t>
  </si>
  <si>
    <t>Real GDP</t>
  </si>
  <si>
    <t>realGDP</t>
  </si>
  <si>
    <t>Real GDP * Price Index</t>
  </si>
  <si>
    <t>healthcostindex</t>
  </si>
  <si>
    <t>netinterest</t>
  </si>
  <si>
    <t>Average Treasury Rate Times Prior Year Debt</t>
  </si>
  <si>
    <t>surplus</t>
  </si>
  <si>
    <t>debt[y-1] - surplus[y]</t>
  </si>
  <si>
    <t>totexp</t>
  </si>
  <si>
    <t>realGDP[y-1] * (1 + GDPgrowth[y])</t>
  </si>
  <si>
    <t>healthcostindex[y-1] * (1 + healthinflation[y])</t>
  </si>
  <si>
    <t>realGDP[y] * priceIndex[y] * .01</t>
  </si>
  <si>
    <t>RandomMean</t>
  </si>
  <si>
    <t>RandomStdDevOrSigma</t>
  </si>
  <si>
    <t>Include in Output File?</t>
  </si>
  <si>
    <t>Y</t>
  </si>
  <si>
    <t>priceIndex</t>
  </si>
  <si>
    <t>Consumer Price Index</t>
  </si>
  <si>
    <t>priceIndex[y-1] * (1 + inflation[y])</t>
  </si>
  <si>
    <t>indinctax</t>
  </si>
  <si>
    <t>Individual Income Tax</t>
  </si>
  <si>
    <t>schoolpop</t>
  </si>
  <si>
    <t>Population Aged 5-19</t>
  </si>
  <si>
    <t>seniorpop</t>
  </si>
  <si>
    <t>Population Aged 65+</t>
  </si>
  <si>
    <t>Inflation + 0.5%</t>
  </si>
  <si>
    <t>federalassist</t>
  </si>
  <si>
    <t>Federal Assistance</t>
  </si>
  <si>
    <t>Percentage of GDP</t>
  </si>
  <si>
    <t>salestax</t>
  </si>
  <si>
    <t>Sales Tax</t>
  </si>
  <si>
    <t>health</t>
  </si>
  <si>
    <t>Health Expenditures</t>
  </si>
  <si>
    <t>Increases with Health Cost Inflation and Senior Population</t>
  </si>
  <si>
    <t>education</t>
  </si>
  <si>
    <t>Education Expenditures</t>
  </si>
  <si>
    <t>Increases with Inflation and School Aged Population</t>
  </si>
  <si>
    <t>otherprogram</t>
  </si>
  <si>
    <t>Other Program Expenditures</t>
  </si>
  <si>
    <t>Year 31</t>
  </si>
  <si>
    <t>newissuerate</t>
  </si>
  <si>
    <t>Interest Rate on Newly Issued Bonds</t>
  </si>
  <si>
    <t>Based on Prior Year GDP Growth, Inflation and Random Factor</t>
  </si>
  <si>
    <t>Fixed Amount Based on Province's Debt Distribution</t>
  </si>
  <si>
    <t>avgcpnrate</t>
  </si>
  <si>
    <t>debt[y-1] * avgcpnrate[y]</t>
  </si>
  <si>
    <t>Average Coupon Rate Paid By Province</t>
  </si>
  <si>
    <t>Weighted Average of New Issue Rate and Prior Year Avg. Coupon</t>
  </si>
  <si>
    <t>newdebtweight</t>
  </si>
  <si>
    <t>Weighting of Newly Issued Debt for Average Coupon</t>
  </si>
  <si>
    <t>(newissuerate[y] * newdebtweight[y]) + (avgcpnrate[y-1] * (1 - newdebtweight[y]))</t>
  </si>
  <si>
    <t>Type/Format</t>
  </si>
  <si>
    <t>double(10,6)</t>
  </si>
  <si>
    <t>double(8,6)</t>
  </si>
  <si>
    <t>double(20,0)</t>
  </si>
  <si>
    <t>double(12,0)</t>
  </si>
  <si>
    <t>Description</t>
  </si>
  <si>
    <t>Expression</t>
  </si>
  <si>
    <t>Metric 1</t>
  </si>
  <si>
    <t>netinterest[y]/totrev[y]</t>
  </si>
  <si>
    <t>Metric 2</t>
  </si>
  <si>
    <t>debt[y]/GDP[y]</t>
  </si>
  <si>
    <t>Metric 3</t>
  </si>
  <si>
    <t>Debt/Total Revenue</t>
  </si>
  <si>
    <t>debt[y]/totrev[y]</t>
  </si>
  <si>
    <t>Metric 4</t>
  </si>
  <si>
    <t>Absolute Increase in Debt</t>
  </si>
  <si>
    <t>debt[y]-debt[y-1]</t>
  </si>
  <si>
    <t>Metric 5</t>
  </si>
  <si>
    <t>Close the PSCF Control panel window.</t>
  </si>
  <si>
    <t>Close</t>
  </si>
  <si>
    <t>Show C Code</t>
  </si>
  <si>
    <t>Run Analysis</t>
  </si>
  <si>
    <t>PSCF Control Panel (model tab)</t>
  </si>
  <si>
    <t>In this context "YY" refers to the number entered for Projection Years in the model tab.  Enter valid C++ expressions that will be used to compute values for each series in each year during each simulation trial.  Expressions may contain any combination of fixed numeric values, arithmetic operators (+ , - , * , / and ^), references to other current year series values and references to prior year values of this or other series.  Current year series references can only be made to series on a higher row of the series sheet and take the form seriesname[y]. To refer to a prior year series value, enter seriesname[y-1]; two year earlier values can be referenced as seriesname[y-2], and so on.  Forward references of the form seriesname[y+INTEGER) are not supported.  References that would evaluate to a year below 0 will cause an error.  For example, in Year 1 you cannot specify seriesname[y-2] since that would evaluate to Year -1 which does not exist.</t>
  </si>
  <si>
    <t>Year 1 -YY</t>
  </si>
  <si>
    <t>Enter values for the initial or base year of the analysis.  This is typically the most recent year for which actuals or nearly-final estimates are available. Values entered in this column would typically be fixed currency amounts reflecting these budgetary values, although expressions may be used as long as they do not refer to prior years.</t>
  </si>
  <si>
    <t>If "Y", the series will appear as a column in the projection output.  If "N", the series will not appear, but will still be computed.</t>
  </si>
  <si>
    <t>A descriptive field allowing you to describe the method for populating this series. Has no impact on processing or display.</t>
  </si>
  <si>
    <t>Applies only to normal and Cauchy random numbers.  For normally distributed random numbers, allows you to specify a standard deviation.  For Cauchy distributed random numbers, allows you to specify a Sigma.</t>
  </si>
  <si>
    <t>Applies only to normal and Cauchy random numbers.  Enables you to specify a mean around which generated values are distributed.</t>
  </si>
  <si>
    <t>Specifies an absolute ceiling for any value in this series.  Must be a numeric value. Optional.</t>
  </si>
  <si>
    <t>Specifies an absolute floor for any value in this series.  Must be a numeric value. Optional.</t>
  </si>
  <si>
    <t>A string of the format TYPE(SIZE,PRECISION) that controls how the array associated with the series is initialized in C++ and displayed in the projection output.  We recommend using TYPE double for all series, although integer types are also supported.  SIZE refers to the maximum length of series values dispayed in the projection output. PRECISION refers to the number of decimal places to be displayed.</t>
  </si>
  <si>
    <t xml:space="preserve">A descriptive field allowing you to classify series as Random Numbers, Macroecoomic, Revenue, Expenditure or Debt related.  Has no impact on processing or display. </t>
  </si>
  <si>
    <t>A text description of the series which will appear as the column header for series data in the projection output.</t>
  </si>
  <si>
    <t>Variable name describing the series.  This name must follow C++ variable naming conventions, which include a limit on the length of the name and no use of spaces within the name.  Please note that C++ is case sensitive, so you must make sure to use the same case when referring to the name in expressions as you do when initializing it here.</t>
  </si>
  <si>
    <t>Enter one row for each series you wish to generate.  There are three fixed series that should not be removed from the sample: unirandom, normrandom and cauchyrandom refer to arrays of random numbers distributed uniformly, normally or according to the Cauchy form respectively.</t>
  </si>
  <si>
    <t>series tab</t>
  </si>
  <si>
    <t>Level beyond which a default or crisis is assumed to occur. Only applicable to the first metric.</t>
  </si>
  <si>
    <t>A syntactically valid expression in terms of series (defined in the series tab) that computes the desired metric.</t>
  </si>
  <si>
    <t>A text description of the metric.  This will appear as the column header in the projection output.</t>
  </si>
  <si>
    <t>Enter up to 5 metrics that will be calculated during each simulation year for each trial.  Columns in the metric section are described below.</t>
  </si>
  <si>
    <t>model tab (metric section)</t>
  </si>
  <si>
    <t>Some analysts may wish to use a term other than "Default" to describe situations in which the threshold is exceeded.  Enter a term other than "Default" here if that is your preference.  This will be reflected in the projection output.</t>
  </si>
  <si>
    <t>Number of years beyond the initial year that will be analyzed.  For example, if the Initial Year is 2011 and a value of 30 is entered for "Projection Years", the period analyzed will be 2012-2041.  Values for 2011 will also be displayed in the Projection output.</t>
  </si>
  <si>
    <t>Fiscal year associated with the base year of the analysis, referred to as "Year 0" in the models tab. In the projection output, years are numbered sequentially beginning with this initial year.  This field must be a four digit numeric.  If a government entity uses the form FY 2012-2013, that should be entered as 2013 in this field.</t>
  </si>
  <si>
    <t>Currency in which values are denominated.  Value appears in the projection output header.  All models are assumed to use a single currency.</t>
  </si>
  <si>
    <t>Short description of the model.  Value appears in the projection output header.</t>
  </si>
  <si>
    <t>Name of the public sector entity being analyzed.  Value appears in the projection output header.</t>
  </si>
  <si>
    <t>Descriptive information and basic model parameters.</t>
  </si>
  <si>
    <t>model tab (top section)</t>
  </si>
  <si>
    <t>Although this interface uses Excel, PSCF also runs in a command line mode which reads tab delimited copies of the model and series tabs, and outputs results to a tab delimited projections tab.  Command line operation is recommended only for highly technical users and those working in the Linux operating system.</t>
  </si>
  <si>
    <t>You can maintain multiple PSCF workbooks by saving the sample spreadsheet to another name, or copying the workbook using Windows Explorer.  All workbooks should be kept in the \\My Documents\PSCF folder.</t>
  </si>
  <si>
    <t>Each entry in the model and series tab is documented below.  Please review these entries carefully and review the sample before entering and running models.</t>
  </si>
  <si>
    <t>PSCF workbooks enable you to enter all details necessary to create and execute a public sector credit simulation model. To do this, you must correctly populate both the model and series sheets and then click the PSCF Contol Panel, and, finally, click the Run Analysis button in this panel.</t>
  </si>
  <si>
    <t>PSCF Documentation</t>
  </si>
  <si>
    <t>Threshold Label</t>
  </si>
  <si>
    <t>Threshold Level</t>
  </si>
  <si>
    <t>Relation to Threshold Signifying Default</t>
  </si>
  <si>
    <t>Relational operator that should be used in conjunction with the threshold to determine whether a default or crisis is assumed to have occurred. Acceptable values are &lt; , &lt;= , &gt; and &gt;=. Only applicable to the first metric.</t>
  </si>
  <si>
    <t>Default</t>
  </si>
  <si>
    <t>Show Projection Details</t>
  </si>
  <si>
    <t xml:space="preserve">Number of simulation trials to run.  Please note that there is no limit, however projection output includes one row for each year and each trial plus white space.  </t>
  </si>
  <si>
    <t>Controls whether trial by trial results will be generated and displayed in a tab named "projections".   Given the row limit of an Excel spreadsheet, this value should be set to "N" if the number of years multiplied by the number of trials exceeeds one million.</t>
  </si>
  <si>
    <t>This button executes a Visual Basic script which performs the following tasks:  (1) checks the syntax of expressions entered in the model and series sheets, (2) converts the model and series sheets to tab delimited text files, (3) translates these text files into a C++ program, (4) compiles the program using the GNU C++ compiler, (5) executes the C++ program thereby running the simuilation and outputting the projection results and (6) loading the projection results into Excel.  If syntax checking reveals errors or compilation fails, the script aborts prior to running other steps.  Error messages may be found in the PSCF control panel and in the form of cell comments associated with cells containing invalid expressions. Depending upon whether you choose to display trial by trial details, a successful analysis run will create either one or two tabs to the Excel workbook.</t>
  </si>
  <si>
    <t>Clear Results</t>
  </si>
  <si>
    <t>Removes previously created projection and results  tabs from the Excel workbook.</t>
  </si>
  <si>
    <t>&gt;</t>
  </si>
  <si>
    <t>normrandom_lfp</t>
  </si>
  <si>
    <t>Random Draws for Labor Force Participation</t>
  </si>
  <si>
    <t>Normally Distributed Random Numbers for Labor Force Participation</t>
  </si>
  <si>
    <t>normrandom_prod</t>
  </si>
  <si>
    <t>Random Draws for Productivity</t>
  </si>
  <si>
    <t>Normally Distributed Random Numbers for Productivity</t>
  </si>
  <si>
    <t>normrandom_infl</t>
  </si>
  <si>
    <t>Random Draws for Inflation</t>
  </si>
  <si>
    <t>Normally Distributed Random Numbers for Inflation</t>
  </si>
  <si>
    <t>Normally Distributed Random Numbers for Metal Prices</t>
  </si>
  <si>
    <t>normrandom_int</t>
  </si>
  <si>
    <t>Random Draws for Interest Rates</t>
  </si>
  <si>
    <t>yr</t>
  </si>
  <si>
    <t>Year Number</t>
  </si>
  <si>
    <t>double(2,0)</t>
  </si>
  <si>
    <t>Sequential Value</t>
  </si>
  <si>
    <t>preschoolpop</t>
  </si>
  <si>
    <t>Population Aged 0-4</t>
  </si>
  <si>
    <t>workingagepop</t>
  </si>
  <si>
    <t>Population Aged 15+</t>
  </si>
  <si>
    <t>age15to64pop</t>
  </si>
  <si>
    <t>Population Aged 15-64</t>
  </si>
  <si>
    <t>age15to64participation</t>
  </si>
  <si>
    <t>Aged 15-64 Labor Force Participation Rate</t>
  </si>
  <si>
    <t>Autoregressive Function Based on Previous Actuals</t>
  </si>
  <si>
    <t>seniorparticipation</t>
  </si>
  <si>
    <t>Senior Labor Force Participation Rate</t>
  </si>
  <si>
    <t>Autoregressive Function with Trend Based on Previous Actuals</t>
  </si>
  <si>
    <t>laborforcepart</t>
  </si>
  <si>
    <t>Overall Labor Force Participation Rate</t>
  </si>
  <si>
    <t>Weighted Average of Senor ot Age15to64 Participation Rates</t>
  </si>
  <si>
    <t>(seniorparticipation[y]*seniorpop[y]+age15to64participation[y]*age15to64pop[y])/workingagepop[y]</t>
  </si>
  <si>
    <t>laborforce</t>
  </si>
  <si>
    <t>Size of Labor Force</t>
  </si>
  <si>
    <t>Labor Force Participation Rate * (Working Age and Senior Pop)</t>
  </si>
  <si>
    <t>workingagepop[y] * laborforcepart[y]</t>
  </si>
  <si>
    <t>productivitygrowth</t>
  </si>
  <si>
    <t>Productivity Growth</t>
  </si>
  <si>
    <t>0.010695 + 0.421745 * productivitygrowth[y-1] + 0.017974 * normrandom_prod[y]</t>
  </si>
  <si>
    <t>Based on LFP and Productivity Growth</t>
  </si>
  <si>
    <t>Autoregressive equation</t>
  </si>
  <si>
    <t>0.013851 + 0.649200 * inflation[y-1] + 0.035383 * normrandom_infl[y]</t>
  </si>
  <si>
    <t>health[y-1]*(seniorpop[y]/seniorpop[y-1])*(1.01+healthinflation[y])</t>
  </si>
  <si>
    <t>education[y-1]* ((schoolpop[y]/schoolpop[y-1]  &lt;  1) ? 1 : schoolpop[y]/schoolpop[y-1]) *(1.01+inflation[y])</t>
  </si>
  <si>
    <t>Net Interest Expense</t>
  </si>
  <si>
    <t>Adjustment Name</t>
  </si>
  <si>
    <t>Expression to Evaluate</t>
  </si>
  <si>
    <t xml:space="preserve">Relation to Threshold </t>
  </si>
  <si>
    <t>Threshold Value</t>
  </si>
  <si>
    <t>Series to Adjust if Threshold is Surpassed</t>
  </si>
  <si>
    <t>Distribute Adjustment to Related Series</t>
  </si>
  <si>
    <t>Revenue Adjustment for Large Surplus</t>
  </si>
  <si>
    <t>totrev[y]/totexp[y]</t>
  </si>
  <si>
    <t>totrev[y]</t>
  </si>
  <si>
    <t>indinctax[y]</t>
  </si>
  <si>
    <t>corpinctax[y]</t>
  </si>
  <si>
    <t>salestax[y]</t>
  </si>
  <si>
    <t>Expense Adjustment for Large Deficit</t>
  </si>
  <si>
    <t>&lt;</t>
  </si>
  <si>
    <t>totexp[y]</t>
  </si>
  <si>
    <t>health[y]</t>
  </si>
  <si>
    <t>education[y]</t>
  </si>
  <si>
    <t>otherprogram[y]</t>
  </si>
  <si>
    <t>Minimum Cumulative Default Probability Associated with Rating</t>
  </si>
  <si>
    <t>Rating</t>
  </si>
  <si>
    <t>AAA</t>
  </si>
  <si>
    <t>AA+</t>
  </si>
  <si>
    <t>AA</t>
  </si>
  <si>
    <t>AA-</t>
  </si>
  <si>
    <t>A+</t>
  </si>
  <si>
    <t>A</t>
  </si>
  <si>
    <t>A-</t>
  </si>
  <si>
    <t>BBB+</t>
  </si>
  <si>
    <t>BBB</t>
  </si>
  <si>
    <t>BBB-</t>
  </si>
  <si>
    <t>BB+</t>
  </si>
  <si>
    <t>BB</t>
  </si>
  <si>
    <t>BB-</t>
  </si>
  <si>
    <t>B+</t>
  </si>
  <si>
    <t>B</t>
  </si>
  <si>
    <t>B-</t>
  </si>
  <si>
    <t>CCC+</t>
  </si>
  <si>
    <t>CCC</t>
  </si>
  <si>
    <t>CCC-</t>
  </si>
  <si>
    <t>CC</t>
  </si>
  <si>
    <t>C</t>
  </si>
  <si>
    <t>D</t>
  </si>
  <si>
    <t>totrev[y] - totexp[y]</t>
  </si>
  <si>
    <t>Total Rev / Total Exp</t>
  </si>
  <si>
    <t>Default Probability Code</t>
  </si>
  <si>
    <t>model tab (default probability code)</t>
  </si>
  <si>
    <t xml:space="preserve">Advanced feature. Most users should leave this field blank. This field supports the  computation of fractional annual default probabilites based on one or more metrics. This field allows the entry of a default probability code block. The code must be written in ANSI C and must supply a value to the array element defaultprob[y]. </t>
  </si>
  <si>
    <t>adjustments tab (optional)</t>
  </si>
  <si>
    <t>This optional tab allows you to adjust fiscal series after they have been calculated. Primary use is to limit annual surpluses or deficits.</t>
  </si>
  <si>
    <t>A text description of the adjustment.</t>
  </si>
  <si>
    <t>A syntactically valid expression in terms of series (defined in the series tab) that computes an expression to test once all series have been calculated for a given year in a given trial.</t>
  </si>
  <si>
    <t>Level beyond which the adjustment will be made.</t>
  </si>
  <si>
    <t xml:space="preserve">Relational operator that should be used in conjunction with the threshold to determine whether an adjustment will be made. Acceptable values are &lt; , &lt;= , &gt; and &gt;=. </t>
  </si>
  <si>
    <r>
      <t xml:space="preserve">An additional list of series to change in order to be consistent with the adjusted series value. All series in the list will be adjusted </t>
    </r>
    <r>
      <rPr>
        <i/>
        <sz val="11"/>
        <color theme="1"/>
        <rFont val="Calibri"/>
        <family val="2"/>
        <scheme val="minor"/>
      </rPr>
      <t xml:space="preserve">pro rata </t>
    </r>
    <r>
      <rPr>
        <sz val="11"/>
        <color theme="1"/>
        <rFont val="Calibri"/>
        <family val="2"/>
        <scheme val="minor"/>
      </rPr>
      <t>without constraint.</t>
    </r>
  </si>
  <si>
    <t>ratingmap tab (optional)</t>
  </si>
  <si>
    <t>normrandom_unem</t>
  </si>
  <si>
    <t>Random Draws for Unemployment</t>
  </si>
  <si>
    <t>Normally Distributed Random Numbers for Unemployment</t>
  </si>
  <si>
    <t>0.129709 + 0.833462 * age15to64participation[y-1] + 0.012870 * normrandom_lfp[y]</t>
  </si>
  <si>
    <t>-0.014950 + 0.000331 * yr[y] + 0.988884 * seniorparticipation[y-1] + 0.016575 * normrandom_lfp[y]</t>
  </si>
  <si>
    <t>unemployment</t>
  </si>
  <si>
    <t>Unemployment Rate</t>
  </si>
  <si>
    <t>0.028227 + 0.665252 * unemployment[y-1] + 0.018809 * normrandom_unem[y]</t>
  </si>
  <si>
    <t>employed</t>
  </si>
  <si>
    <t>Number of Persons Employed</t>
  </si>
  <si>
    <t>Labor Force times (1 - Unemployment Rate)</t>
  </si>
  <si>
    <t>laborforce[y] * (1 - unemployment[y])</t>
  </si>
  <si>
    <t>( employed[y] / employed[y-1]  - 1 ) + productivitygrowth[y]</t>
  </si>
  <si>
    <t xml:space="preserve">inflation[y] + .005 </t>
  </si>
  <si>
    <t>Lookup table between annual default probabilites and ratings. If this table is provided, annual rating equivalents will be displayed in results.</t>
  </si>
  <si>
    <t>Click this command button to run a projection or perform projection-related housekeeping tasks.  Normally, you would only use this panel after populating both the model and series sheets.</t>
  </si>
  <si>
    <t>Displays the generated code in a Notepad window.  This is for informational purposes only.  Manual changes to the program will not affect the projection output and will be overwritten the next time "Run Analysis" is executed.</t>
  </si>
  <si>
    <t>Specify which series to adjust so that the Expression to Evaluate matches the threshold.</t>
  </si>
  <si>
    <t>Constraint Operator</t>
  </si>
  <si>
    <t>&gt;=</t>
  </si>
  <si>
    <t>Constraint Amount</t>
  </si>
  <si>
    <t>Dependent Series</t>
  </si>
  <si>
    <t>Relational operator that should be used in conjunction with the Constraint Amount to set a limit to the amount of the series is adjusted. Acceptable values are &lt; , &lt;= , &gt; and &gt;=. Only applicable to the first metric.</t>
  </si>
  <si>
    <t>Other series whose values are dependent on series being adjusted. Series listed in this column will be recalculated after the adjustments have been applied.</t>
  </si>
  <si>
    <t>Number, series member or compound term specifying the upper or lower bound for the adjusted value. A typical use of this field (and the operator field above) is to prevent a series from swiching signs.</t>
  </si>
  <si>
    <t>Default rates in this table is roughly based on the Idealized Default Rate table distributed by Moody's Corporation, although it uses the more familiar rating symbols employed by S&amp;P and Fitch. PSCF users may substitute any values between 0 and 1.</t>
  </si>
  <si>
    <t>AnyProvince</t>
  </si>
  <si>
    <t>Sample Canadian Province</t>
  </si>
  <si>
    <t>CAD</t>
  </si>
  <si>
    <t>Statistics Canada Population Estimates</t>
  </si>
  <si>
    <t>federalassist[y]+indinctax[y]+corpinctax[y]+salestax[y]+othrev[y]</t>
  </si>
  <si>
    <t>surplus[y]</t>
  </si>
  <si>
    <t>debt[y]</t>
  </si>
  <si>
    <t xml:space="preserve"> .01 + 0.59 * newissuerate[y-1]  + 0.31 * inflation[y] + 0.003248275 * normrandom_int[y]</t>
  </si>
  <si>
    <t>health[y]+education[y]+otherprogram[y]+netinterest[y]</t>
  </si>
  <si>
    <t>federalassist[y-1]/GDP[y-1]*GDP[y]</t>
  </si>
  <si>
    <t>indinctax[y-1]/GDP[y-1]*GDP[y]</t>
  </si>
  <si>
    <t>corpinctax[y-1]/GDP[y-1]*GDP[y]</t>
  </si>
  <si>
    <t>salestax[y-1]/GDP[y-1]*GDP[y]</t>
  </si>
  <si>
    <t>othrev[y-1]/GDP[y-1]*GDP[y]</t>
  </si>
  <si>
    <t>otherprogram[y-1]/GDP[y-1]*GDP[y]</t>
  </si>
  <si>
    <t>N</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</si>
</sst>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_(* #,##0.00_);_(* \(#,##0.00\);_(* &quot;-&quot;??_);_(@_)"/>
    <numFmt numFmtId="165" formatCode="0.0000"/>
    <numFmt numFmtId="166" formatCode="0.000"/>
    <numFmt numFmtId="167" formatCode="0.00000"/>
    <numFmt numFmtId="168" formatCode="#,##0.000"/>
    <numFmt numFmtId="169" formatCode="#,##0.0000"/>
  </numFmts>
  <fonts count="6"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name val="Calibri"/>
      <family val="2"/>
      <scheme val="minor"/>
    </font>
    <font>
      <i/>
      <sz val="11"/>
      <color theme="1"/>
      <name val="Calibri"/>
      <family val="2"/>
      <scheme val="minor"/>
    </font>
  </fonts>
  <fills count="3">
    <fill>
      <patternFill patternType="none"/>
    </fill>
    <fill>
      <patternFill patternType="gray125"/>
    </fill>
    <fill>
      <gradientFill degree="45">
        <stop position="0">
          <color theme="0"/>
        </stop>
        <stop position="1">
          <color theme="4"/>
        </stop>
      </gradient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79">
    <xf numFmtId="0" fontId="0" fillId="0" borderId="0" xfId="0"/>
    <xf numFmtId="0" fontId="0" fillId="0" borderId="0" xfId="0" applyAlignment="1">
      <alignment horizontal="center"/>
    </xf>
    <xf numFmtId="0" fontId="2" fillId="0" borderId="0" xfId="0" applyFont="1"/>
    <xf numFmtId="0" fontId="2" fillId="0" borderId="0" xfId="0" applyFont="1" applyAlignment="1">
      <alignment horizontal="center"/>
    </xf>
    <xf numFmtId="0" fontId="3" fillId="0" borderId="1" xfId="0" applyFont="1" applyBorder="1" applyAlignment="1">
      <alignment horizontal="center"/>
    </xf>
    <xf numFmtId="0" fontId="0" fillId="0" borderId="0" xfId="0" applyFill="1"/>
    <xf numFmtId="9" fontId="3" fillId="0" borderId="1" xfId="2" applyFont="1" applyBorder="1" applyAlignment="1">
      <alignment horizontal="center"/>
    </xf>
    <xf numFmtId="0" fontId="2" fillId="0" borderId="1" xfId="0" applyFont="1" applyBorder="1" applyAlignment="1">
      <alignment horizontal="center"/>
    </xf>
    <xf numFmtId="0" fontId="2" fillId="0" borderId="1" xfId="0" applyFont="1" applyBorder="1"/>
    <xf numFmtId="0" fontId="0" fillId="0" borderId="0" xfId="0" quotePrefix="1"/>
    <xf numFmtId="0" fontId="0" fillId="0" borderId="1" xfId="0" applyBorder="1" applyAlignment="1">
      <alignment horizontal="center"/>
    </xf>
    <xf numFmtId="0" fontId="4" fillId="0" borderId="0" xfId="0" applyFont="1" applyAlignment="1">
      <alignment horizontal="left" vertical="top"/>
    </xf>
    <xf numFmtId="0" fontId="0" fillId="0" borderId="1" xfId="0" applyBorder="1" applyAlignment="1">
      <alignment wrapText="1"/>
    </xf>
    <xf numFmtId="0" fontId="4" fillId="0" borderId="1" xfId="0" applyFont="1" applyBorder="1" applyAlignment="1">
      <alignment horizontal="left" vertical="top" wrapText="1"/>
    </xf>
    <xf numFmtId="0" fontId="0" fillId="0" borderId="1" xfId="0" applyBorder="1"/>
    <xf numFmtId="0" fontId="0" fillId="0" borderId="4" xfId="0" applyBorder="1" applyAlignment="1">
      <alignment wrapText="1"/>
    </xf>
    <xf numFmtId="0" fontId="0" fillId="0" borderId="5" xfId="0" applyBorder="1" applyAlignment="1">
      <alignment wrapText="1"/>
    </xf>
    <xf numFmtId="0" fontId="4" fillId="0" borderId="5" xfId="0" applyFont="1" applyBorder="1" applyAlignment="1">
      <alignment horizontal="left" vertical="top" wrapText="1"/>
    </xf>
    <xf numFmtId="0" fontId="0" fillId="0" borderId="5" xfId="0" applyBorder="1"/>
    <xf numFmtId="0" fontId="0" fillId="0" borderId="6" xfId="0" applyBorder="1" applyAlignment="1">
      <alignment wrapText="1"/>
    </xf>
    <xf numFmtId="0" fontId="4" fillId="0" borderId="6" xfId="0" applyFont="1" applyBorder="1" applyAlignment="1">
      <alignment horizontal="left" vertical="top" wrapText="1"/>
    </xf>
    <xf numFmtId="0" fontId="0" fillId="0" borderId="6" xfId="0" applyBorder="1"/>
    <xf numFmtId="0" fontId="0" fillId="0" borderId="1" xfId="0" applyBorder="1" applyAlignment="1">
      <alignment vertical="top" wrapText="1"/>
    </xf>
    <xf numFmtId="0" fontId="0" fillId="0" borderId="6" xfId="0" applyBorder="1" applyAlignment="1">
      <alignment horizontal="left" vertical="top" wrapText="1"/>
    </xf>
    <xf numFmtId="0" fontId="0" fillId="0" borderId="1" xfId="0" applyBorder="1" applyAlignment="1">
      <alignment horizontal="left" vertical="top" wrapText="1"/>
    </xf>
    <xf numFmtId="0" fontId="4" fillId="0" borderId="0" xfId="0" applyFont="1" applyAlignment="1">
      <alignment horizontal="left" vertical="top" wrapText="1"/>
    </xf>
    <xf numFmtId="0" fontId="3" fillId="0" borderId="0" xfId="0" applyFont="1"/>
    <xf numFmtId="0" fontId="0" fillId="0" borderId="0" xfId="0" quotePrefix="1" applyAlignment="1">
      <alignment vertical="top"/>
    </xf>
    <xf numFmtId="9" fontId="3" fillId="0" borderId="1" xfId="2" applyFont="1" applyBorder="1" applyAlignment="1">
      <alignment horizontal="center" vertical="top"/>
    </xf>
    <xf numFmtId="0" fontId="0" fillId="0" borderId="1" xfId="0" applyBorder="1" applyAlignment="1">
      <alignment horizontal="center" vertical="top"/>
    </xf>
    <xf numFmtId="0" fontId="0" fillId="0" borderId="1" xfId="0" quotePrefix="1" applyBorder="1" applyAlignment="1">
      <alignment horizontal="center" vertical="top"/>
    </xf>
    <xf numFmtId="0" fontId="0" fillId="0" borderId="0" xfId="0" applyAlignment="1">
      <alignment horizontal="left" wrapText="1"/>
    </xf>
    <xf numFmtId="0" fontId="0" fillId="0" borderId="7" xfId="0" applyBorder="1"/>
    <xf numFmtId="0" fontId="4" fillId="0" borderId="0" xfId="0" applyFont="1" applyFill="1" applyAlignment="1">
      <alignment horizontal="left"/>
    </xf>
    <xf numFmtId="0" fontId="4" fillId="0" borderId="0" xfId="0" applyFont="1" applyFill="1" applyAlignment="1">
      <alignment horizontal="center"/>
    </xf>
    <xf numFmtId="0" fontId="0" fillId="0" borderId="0" xfId="0" quotePrefix="1" applyFill="1" applyAlignment="1">
      <alignment horizontal="center"/>
    </xf>
    <xf numFmtId="167" fontId="0" fillId="0" borderId="0" xfId="0" applyNumberFormat="1"/>
    <xf numFmtId="0" fontId="0" fillId="0" borderId="0" xfId="0"/>
    <xf numFmtId="0" fontId="0" fillId="0" borderId="1" xfId="0" applyFill="1" applyBorder="1" applyAlignment="1">
      <alignment vertical="top" wrapText="1"/>
    </xf>
    <xf numFmtId="0" fontId="2" fillId="0" borderId="1" xfId="0" applyFont="1" applyFill="1" applyBorder="1" applyAlignment="1">
      <alignment horizontal="center"/>
    </xf>
    <xf numFmtId="0" fontId="0" fillId="0" borderId="7" xfId="0" applyBorder="1" applyAlignment="1">
      <alignment horizontal="left" vertical="top" wrapText="1"/>
    </xf>
    <xf numFmtId="0" fontId="0" fillId="0" borderId="7" xfId="0" applyBorder="1" applyAlignment="1">
      <alignment wrapText="1"/>
    </xf>
    <xf numFmtId="0" fontId="3" fillId="0" borderId="7" xfId="0" applyFont="1" applyBorder="1" applyAlignment="1">
      <alignment vertical="top"/>
    </xf>
    <xf numFmtId="0" fontId="3" fillId="0" borderId="8" xfId="0" applyFont="1" applyBorder="1" applyAlignment="1">
      <alignment vertical="top"/>
    </xf>
    <xf numFmtId="0" fontId="0" fillId="0" borderId="9" xfId="0" applyBorder="1" applyAlignment="1">
      <alignment horizontal="left" vertical="top" wrapText="1"/>
    </xf>
    <xf numFmtId="0" fontId="4" fillId="0" borderId="7" xfId="0" applyFont="1" applyBorder="1" applyAlignment="1">
      <alignment horizontal="left" vertical="top" wrapText="1"/>
    </xf>
    <xf numFmtId="0" fontId="0" fillId="0" borderId="0" xfId="0" applyAlignment="1">
      <alignment horizontal="center"/>
    </xf>
    <xf numFmtId="3" fontId="3" fillId="0" borderId="1" xfId="0" applyNumberFormat="1" applyFont="1" applyBorder="1" applyAlignment="1">
      <alignment horizontal="center"/>
    </xf>
    <xf numFmtId="0" fontId="2" fillId="0" borderId="0" xfId="0" applyFont="1" applyAlignment="1">
      <alignment horizontal="left"/>
    </xf>
    <xf numFmtId="0" fontId="4" fillId="0" borderId="0" xfId="0" applyFont="1"/>
    <xf numFmtId="0" fontId="4" fillId="0" borderId="0" xfId="0" applyFont="1" applyAlignment="1">
      <alignment horizontal="left"/>
    </xf>
    <xf numFmtId="0" fontId="4" fillId="0" borderId="0" xfId="0" applyFont="1" applyAlignment="1">
      <alignment horizontal="center"/>
    </xf>
    <xf numFmtId="166" fontId="4" fillId="0" borderId="0" xfId="1" applyNumberFormat="1" applyFont="1" applyAlignment="1">
      <alignment horizontal="center"/>
    </xf>
    <xf numFmtId="1" fontId="4" fillId="0" borderId="0" xfId="1" applyNumberFormat="1" applyFont="1" applyAlignment="1">
      <alignment horizontal="center"/>
    </xf>
    <xf numFmtId="1" fontId="4" fillId="0" borderId="0" xfId="1" quotePrefix="1" applyNumberFormat="1" applyFont="1" applyAlignment="1">
      <alignment horizontal="center"/>
    </xf>
    <xf numFmtId="2" fontId="4" fillId="0" borderId="0" xfId="1" applyNumberFormat="1" applyFont="1" applyAlignment="1">
      <alignment horizontal="center"/>
    </xf>
    <xf numFmtId="0" fontId="0" fillId="0" borderId="0" xfId="0" quotePrefix="1" applyAlignment="1">
      <alignment horizontal="center"/>
    </xf>
    <xf numFmtId="165" fontId="4" fillId="0" borderId="0" xfId="1" applyNumberFormat="1" applyFont="1" applyAlignment="1">
      <alignment horizontal="center"/>
    </xf>
    <xf numFmtId="0" fontId="0" fillId="0" borderId="0" xfId="0" applyAlignment="1">
      <alignment horizontal="left"/>
    </xf>
    <xf numFmtId="1" fontId="0" fillId="0" borderId="0" xfId="0" applyNumberFormat="1" applyFont="1" applyAlignment="1">
      <alignment horizontal="center"/>
    </xf>
    <xf numFmtId="0" fontId="4" fillId="0" borderId="0" xfId="0" quotePrefix="1" applyFont="1"/>
    <xf numFmtId="0" fontId="0" fillId="0" borderId="8" xfId="0" applyBorder="1"/>
    <xf numFmtId="0" fontId="0" fillId="0" borderId="2" xfId="0" applyBorder="1"/>
    <xf numFmtId="0" fontId="0" fillId="0" borderId="0" xfId="0" applyAlignment="1">
      <alignment horizontal="center"/>
    </xf>
    <xf numFmtId="0" fontId="5" fillId="0" borderId="0" xfId="0" applyFont="1"/>
    <xf numFmtId="3" fontId="4" fillId="0" borderId="0" xfId="1" applyNumberFormat="1" applyFont="1" applyAlignment="1">
      <alignment horizontal="center"/>
    </xf>
    <xf numFmtId="3" fontId="4" fillId="0" borderId="0" xfId="0" applyNumberFormat="1" applyFont="1" applyAlignment="1">
      <alignment horizontal="center"/>
    </xf>
    <xf numFmtId="168" fontId="4" fillId="0" borderId="0" xfId="1" applyNumberFormat="1" applyFont="1" applyAlignment="1">
      <alignment horizontal="center"/>
    </xf>
    <xf numFmtId="169" fontId="4" fillId="0" borderId="0" xfId="1" applyNumberFormat="1" applyFont="1" applyAlignment="1">
      <alignment horizontal="center"/>
    </xf>
    <xf numFmtId="0" fontId="3" fillId="0" borderId="1" xfId="0" applyFont="1" applyBorder="1" applyAlignment="1">
      <alignment horizontal="left" vertical="top"/>
    </xf>
    <xf numFmtId="0" fontId="3" fillId="0" borderId="4" xfId="0" applyFont="1" applyBorder="1" applyAlignment="1">
      <alignment horizontal="left" vertical="top"/>
    </xf>
    <xf numFmtId="0" fontId="0" fillId="0" borderId="0" xfId="0" applyAlignment="1">
      <alignment horizontal="left" wrapText="1"/>
    </xf>
    <xf numFmtId="0" fontId="0" fillId="0" borderId="0" xfId="0" applyAlignment="1">
      <alignment horizontal="left" vertical="top" wrapText="1"/>
    </xf>
    <xf numFmtId="0" fontId="3" fillId="0" borderId="1" xfId="0" applyFont="1" applyBorder="1" applyAlignment="1">
      <alignment horizontal="left"/>
    </xf>
    <xf numFmtId="0" fontId="0" fillId="2" borderId="2" xfId="0" applyFill="1" applyBorder="1" applyAlignment="1">
      <alignment horizontal="center"/>
    </xf>
    <xf numFmtId="0" fontId="0" fillId="2" borderId="7" xfId="0" applyFill="1" applyBorder="1" applyAlignment="1">
      <alignment horizontal="center"/>
    </xf>
    <xf numFmtId="0" fontId="0" fillId="2" borderId="3" xfId="0" applyFill="1" applyBorder="1" applyAlignment="1">
      <alignment horizontal="center"/>
    </xf>
    <xf numFmtId="0" fontId="0" fillId="2" borderId="0" xfId="0" applyFill="1" applyBorder="1" applyAlignment="1">
      <alignment horizontal="center"/>
    </xf>
    <xf numFmtId="0" fontId="0" fillId="0" borderId="0" xfId="0" applyAlignment="1">
      <alignment horizontal="center"/>
    </xf>
  </cellXfs>
  <cellStyles count="3">
    <cellStyle name="Comma" xfId="1" builtinId="3"/>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254000</xdr:colOff>
          <xdr:row>20</xdr:row>
          <xdr:rowOff>0</xdr:rowOff>
        </xdr:from>
        <xdr:to>
          <xdr:col>1</xdr:col>
          <xdr:colOff>2403475</xdr:colOff>
          <xdr:row>22</xdr:row>
          <xdr:rowOff>0</xdr:rowOff>
        </xdr:to>
        <xdr:sp macro="" textlink="">
          <xdr:nvSpPr>
            <xdr:cNvPr id="2049" name="CommandButtonPanel"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61"/>
  <sheetViews>
    <sheetView workbookViewId="0">
      <selection activeCell="C52" sqref="C52"/>
    </sheetView>
  </sheetViews>
  <sheetFormatPr defaultRowHeight="15" x14ac:dyDescent="0.25"/>
  <cols>
    <col min="1" max="1" width="9.140625" style="37"/>
    <col min="2" max="2" width="38.28515625" style="11" bestFit="1" customWidth="1"/>
    <col min="3" max="3" width="119" style="37" customWidth="1"/>
    <col min="4" max="16384" width="9.140625" style="37"/>
  </cols>
  <sheetData>
    <row r="1" spans="1:3" x14ac:dyDescent="0.25">
      <c r="A1" s="26" t="s">
        <v>185</v>
      </c>
      <c r="C1"/>
    </row>
    <row r="3" spans="1:3" ht="31.5" customHeight="1" x14ac:dyDescent="0.25">
      <c r="A3" s="71" t="s">
        <v>184</v>
      </c>
      <c r="B3" s="71"/>
      <c r="C3" s="71"/>
    </row>
    <row r="4" spans="1:3" x14ac:dyDescent="0.25">
      <c r="A4" s="31"/>
      <c r="B4" s="25"/>
      <c r="C4" s="31"/>
    </row>
    <row r="5" spans="1:3" x14ac:dyDescent="0.25">
      <c r="A5" s="71" t="s">
        <v>183</v>
      </c>
      <c r="B5" s="71"/>
      <c r="C5" s="71"/>
    </row>
    <row r="6" spans="1:3" x14ac:dyDescent="0.25">
      <c r="A6" s="31"/>
      <c r="B6" s="25"/>
      <c r="C6" s="31"/>
    </row>
    <row r="7" spans="1:3" ht="32.25" customHeight="1" x14ac:dyDescent="0.25">
      <c r="A7" s="72" t="s">
        <v>182</v>
      </c>
      <c r="B7" s="72"/>
      <c r="C7" s="72"/>
    </row>
    <row r="8" spans="1:3" x14ac:dyDescent="0.25">
      <c r="A8" s="31"/>
      <c r="B8" s="25"/>
      <c r="C8" s="31"/>
    </row>
    <row r="9" spans="1:3" ht="35.25" customHeight="1" x14ac:dyDescent="0.25">
      <c r="A9" s="72" t="s">
        <v>181</v>
      </c>
      <c r="B9" s="72"/>
      <c r="C9" s="72"/>
    </row>
    <row r="11" spans="1:3" x14ac:dyDescent="0.25">
      <c r="A11" s="73" t="s">
        <v>180</v>
      </c>
      <c r="B11" s="73"/>
      <c r="C11" s="14" t="s">
        <v>179</v>
      </c>
    </row>
    <row r="12" spans="1:3" x14ac:dyDescent="0.25">
      <c r="A12" s="14"/>
      <c r="B12" s="13" t="s">
        <v>2</v>
      </c>
      <c r="C12" s="12" t="s">
        <v>178</v>
      </c>
    </row>
    <row r="13" spans="1:3" x14ac:dyDescent="0.25">
      <c r="A13" s="14"/>
      <c r="B13" s="13" t="s">
        <v>3</v>
      </c>
      <c r="C13" s="12" t="s">
        <v>177</v>
      </c>
    </row>
    <row r="14" spans="1:3" ht="30" x14ac:dyDescent="0.25">
      <c r="A14" s="14"/>
      <c r="B14" s="13" t="s">
        <v>14</v>
      </c>
      <c r="C14" s="12" t="s">
        <v>176</v>
      </c>
    </row>
    <row r="15" spans="1:3" ht="45" x14ac:dyDescent="0.25">
      <c r="A15" s="14"/>
      <c r="B15" s="13" t="s">
        <v>4</v>
      </c>
      <c r="C15" s="12" t="s">
        <v>175</v>
      </c>
    </row>
    <row r="16" spans="1:3" ht="30" x14ac:dyDescent="0.25">
      <c r="A16" s="14"/>
      <c r="B16" s="13" t="s">
        <v>57</v>
      </c>
      <c r="C16" s="12" t="s">
        <v>174</v>
      </c>
    </row>
    <row r="17" spans="1:3" ht="30" x14ac:dyDescent="0.25">
      <c r="A17" s="14"/>
      <c r="B17" s="13" t="s">
        <v>5</v>
      </c>
      <c r="C17" s="12" t="s">
        <v>192</v>
      </c>
    </row>
    <row r="18" spans="1:3" ht="30" x14ac:dyDescent="0.25">
      <c r="A18" s="21"/>
      <c r="B18" s="20" t="s">
        <v>186</v>
      </c>
      <c r="C18" s="19" t="s">
        <v>173</v>
      </c>
    </row>
    <row r="19" spans="1:3" ht="30" x14ac:dyDescent="0.25">
      <c r="A19" s="32"/>
      <c r="B19" s="13" t="s">
        <v>191</v>
      </c>
      <c r="C19" s="12" t="s">
        <v>193</v>
      </c>
    </row>
    <row r="20" spans="1:3" x14ac:dyDescent="0.25">
      <c r="A20" s="18"/>
      <c r="B20" s="17"/>
      <c r="C20" s="16"/>
    </row>
    <row r="21" spans="1:3" ht="30" x14ac:dyDescent="0.25">
      <c r="A21" s="70" t="s">
        <v>172</v>
      </c>
      <c r="B21" s="70"/>
      <c r="C21" s="15" t="s">
        <v>171</v>
      </c>
    </row>
    <row r="22" spans="1:3" x14ac:dyDescent="0.25">
      <c r="A22" s="14"/>
      <c r="B22" s="13" t="s">
        <v>135</v>
      </c>
      <c r="C22" s="12" t="s">
        <v>170</v>
      </c>
    </row>
    <row r="23" spans="1:3" x14ac:dyDescent="0.25">
      <c r="A23" s="14"/>
      <c r="B23" s="24" t="s">
        <v>136</v>
      </c>
      <c r="C23" s="12" t="s">
        <v>169</v>
      </c>
    </row>
    <row r="24" spans="1:3" x14ac:dyDescent="0.25">
      <c r="A24" s="14"/>
      <c r="B24" s="24" t="s">
        <v>187</v>
      </c>
      <c r="C24" s="12" t="s">
        <v>168</v>
      </c>
    </row>
    <row r="25" spans="1:3" ht="30" x14ac:dyDescent="0.25">
      <c r="A25" s="21"/>
      <c r="B25" s="23" t="s">
        <v>188</v>
      </c>
      <c r="C25" s="19" t="s">
        <v>189</v>
      </c>
    </row>
    <row r="26" spans="1:3" x14ac:dyDescent="0.25">
      <c r="A26" s="32"/>
      <c r="B26" s="40"/>
      <c r="C26" s="41"/>
    </row>
    <row r="27" spans="1:3" ht="45" x14ac:dyDescent="0.25">
      <c r="A27" s="43" t="s">
        <v>288</v>
      </c>
      <c r="B27" s="44"/>
      <c r="C27" s="12" t="s">
        <v>289</v>
      </c>
    </row>
    <row r="28" spans="1:3" x14ac:dyDescent="0.25">
      <c r="A28" s="32"/>
      <c r="B28" s="40"/>
      <c r="C28" s="41"/>
    </row>
    <row r="29" spans="1:3" ht="45" x14ac:dyDescent="0.25">
      <c r="A29" s="69" t="s">
        <v>167</v>
      </c>
      <c r="B29" s="69"/>
      <c r="C29" s="12" t="s">
        <v>166</v>
      </c>
    </row>
    <row r="30" spans="1:3" ht="45" x14ac:dyDescent="0.25">
      <c r="A30" s="14"/>
      <c r="B30" s="13" t="s">
        <v>8</v>
      </c>
      <c r="C30" s="12" t="s">
        <v>165</v>
      </c>
    </row>
    <row r="31" spans="1:3" x14ac:dyDescent="0.25">
      <c r="A31" s="14"/>
      <c r="B31" s="13" t="s">
        <v>17</v>
      </c>
      <c r="C31" s="12" t="s">
        <v>164</v>
      </c>
    </row>
    <row r="32" spans="1:3" ht="30" x14ac:dyDescent="0.25">
      <c r="A32" s="14"/>
      <c r="B32" s="13" t="s">
        <v>9</v>
      </c>
      <c r="C32" s="12" t="s">
        <v>163</v>
      </c>
    </row>
    <row r="33" spans="1:3" ht="60" x14ac:dyDescent="0.25">
      <c r="A33" s="14"/>
      <c r="B33" s="13" t="s">
        <v>130</v>
      </c>
      <c r="C33" s="12" t="s">
        <v>162</v>
      </c>
    </row>
    <row r="34" spans="1:3" x14ac:dyDescent="0.25">
      <c r="A34" s="14"/>
      <c r="B34" s="13" t="s">
        <v>59</v>
      </c>
      <c r="C34" s="12" t="s">
        <v>161</v>
      </c>
    </row>
    <row r="35" spans="1:3" x14ac:dyDescent="0.25">
      <c r="A35" s="14"/>
      <c r="B35" s="13" t="s">
        <v>60</v>
      </c>
      <c r="C35" s="12" t="s">
        <v>160</v>
      </c>
    </row>
    <row r="36" spans="1:3" ht="15" customHeight="1" x14ac:dyDescent="0.25">
      <c r="A36" s="14"/>
      <c r="B36" s="13" t="s">
        <v>91</v>
      </c>
      <c r="C36" s="22" t="s">
        <v>159</v>
      </c>
    </row>
    <row r="37" spans="1:3" ht="30" x14ac:dyDescent="0.25">
      <c r="A37" s="14"/>
      <c r="B37" s="13" t="s">
        <v>92</v>
      </c>
      <c r="C37" s="12" t="s">
        <v>158</v>
      </c>
    </row>
    <row r="38" spans="1:3" x14ac:dyDescent="0.25">
      <c r="A38" s="14"/>
      <c r="B38" s="13" t="s">
        <v>61</v>
      </c>
      <c r="C38" s="12" t="s">
        <v>157</v>
      </c>
    </row>
    <row r="39" spans="1:3" x14ac:dyDescent="0.25">
      <c r="A39" s="14"/>
      <c r="B39" s="13" t="s">
        <v>93</v>
      </c>
      <c r="C39" s="12" t="s">
        <v>156</v>
      </c>
    </row>
    <row r="40" spans="1:3" ht="45" x14ac:dyDescent="0.25">
      <c r="A40" s="14"/>
      <c r="B40" s="13" t="s">
        <v>26</v>
      </c>
      <c r="C40" s="12" t="s">
        <v>155</v>
      </c>
    </row>
    <row r="41" spans="1:3" ht="120" x14ac:dyDescent="0.25">
      <c r="A41" s="21"/>
      <c r="B41" s="20" t="s">
        <v>154</v>
      </c>
      <c r="C41" s="19" t="s">
        <v>153</v>
      </c>
    </row>
    <row r="42" spans="1:3" x14ac:dyDescent="0.25">
      <c r="A42" s="32"/>
      <c r="B42" s="45"/>
      <c r="C42" s="41"/>
    </row>
    <row r="43" spans="1:3" ht="30" x14ac:dyDescent="0.25">
      <c r="A43" s="69" t="s">
        <v>290</v>
      </c>
      <c r="B43" s="69"/>
      <c r="C43" s="22" t="s">
        <v>291</v>
      </c>
    </row>
    <row r="44" spans="1:3" x14ac:dyDescent="0.25">
      <c r="A44" s="61"/>
      <c r="B44" s="13" t="s">
        <v>243</v>
      </c>
      <c r="C44" s="12" t="s">
        <v>292</v>
      </c>
    </row>
    <row r="45" spans="1:3" ht="30" x14ac:dyDescent="0.25">
      <c r="A45" s="61"/>
      <c r="B45" s="24" t="s">
        <v>244</v>
      </c>
      <c r="C45" s="12" t="s">
        <v>293</v>
      </c>
    </row>
    <row r="46" spans="1:3" ht="30" x14ac:dyDescent="0.25">
      <c r="A46" s="61"/>
      <c r="B46" s="24" t="s">
        <v>245</v>
      </c>
      <c r="C46" s="12" t="s">
        <v>295</v>
      </c>
    </row>
    <row r="47" spans="1:3" x14ac:dyDescent="0.25">
      <c r="A47" s="62"/>
      <c r="B47" s="24" t="s">
        <v>246</v>
      </c>
      <c r="C47" s="12" t="s">
        <v>294</v>
      </c>
    </row>
    <row r="48" spans="1:3" x14ac:dyDescent="0.25">
      <c r="A48" s="62"/>
      <c r="B48" s="24" t="s">
        <v>247</v>
      </c>
      <c r="C48" s="12" t="s">
        <v>315</v>
      </c>
    </row>
    <row r="49" spans="1:3" ht="30" x14ac:dyDescent="0.25">
      <c r="A49" s="62"/>
      <c r="B49" s="24" t="s">
        <v>248</v>
      </c>
      <c r="C49" s="12" t="s">
        <v>296</v>
      </c>
    </row>
    <row r="50" spans="1:3" ht="30" x14ac:dyDescent="0.25">
      <c r="A50" s="32"/>
      <c r="B50" s="24" t="s">
        <v>316</v>
      </c>
      <c r="C50" s="19" t="s">
        <v>320</v>
      </c>
    </row>
    <row r="51" spans="1:3" ht="30" x14ac:dyDescent="0.25">
      <c r="A51" s="32"/>
      <c r="B51" s="24" t="s">
        <v>318</v>
      </c>
      <c r="C51" s="12" t="s">
        <v>322</v>
      </c>
    </row>
    <row r="52" spans="1:3" ht="30" x14ac:dyDescent="0.25">
      <c r="A52" s="32"/>
      <c r="B52" s="24" t="s">
        <v>319</v>
      </c>
      <c r="C52" s="12" t="s">
        <v>321</v>
      </c>
    </row>
    <row r="53" spans="1:3" x14ac:dyDescent="0.25">
      <c r="A53" s="32"/>
      <c r="B53" s="45"/>
      <c r="C53" s="41"/>
    </row>
    <row r="54" spans="1:3" ht="30" x14ac:dyDescent="0.25">
      <c r="A54" s="42" t="s">
        <v>297</v>
      </c>
      <c r="B54" s="45"/>
      <c r="C54" s="41" t="s">
        <v>312</v>
      </c>
    </row>
    <row r="55" spans="1:3" x14ac:dyDescent="0.25">
      <c r="A55" s="18"/>
      <c r="B55" s="17"/>
      <c r="C55" s="16"/>
    </row>
    <row r="56" spans="1:3" ht="30" x14ac:dyDescent="0.25">
      <c r="A56" s="70" t="s">
        <v>152</v>
      </c>
      <c r="B56" s="70"/>
      <c r="C56" s="15" t="s">
        <v>313</v>
      </c>
    </row>
    <row r="57" spans="1:3" ht="105" x14ac:dyDescent="0.25">
      <c r="A57" s="14"/>
      <c r="B57" s="13" t="s">
        <v>151</v>
      </c>
      <c r="C57" s="12" t="s">
        <v>194</v>
      </c>
    </row>
    <row r="58" spans="1:3" x14ac:dyDescent="0.25">
      <c r="A58" s="14"/>
      <c r="B58" s="13" t="s">
        <v>195</v>
      </c>
      <c r="C58" s="12" t="s">
        <v>196</v>
      </c>
    </row>
    <row r="59" spans="1:3" ht="30" x14ac:dyDescent="0.25">
      <c r="A59" s="14"/>
      <c r="B59" s="13" t="s">
        <v>150</v>
      </c>
      <c r="C59" s="12" t="s">
        <v>314</v>
      </c>
    </row>
    <row r="60" spans="1:3" x14ac:dyDescent="0.25">
      <c r="A60" s="14"/>
      <c r="B60" s="13" t="s">
        <v>149</v>
      </c>
      <c r="C60" s="12" t="s">
        <v>148</v>
      </c>
    </row>
    <row r="61" spans="1:3" x14ac:dyDescent="0.25">
      <c r="A61"/>
      <c r="C61"/>
    </row>
  </sheetData>
  <mergeCells count="9">
    <mergeCell ref="A29:B29"/>
    <mergeCell ref="A56:B56"/>
    <mergeCell ref="A3:C3"/>
    <mergeCell ref="A5:C5"/>
    <mergeCell ref="A7:C7"/>
    <mergeCell ref="A9:C9"/>
    <mergeCell ref="A11:B11"/>
    <mergeCell ref="A21:B21"/>
    <mergeCell ref="A43:B43"/>
  </mergeCells>
  <dataValidations count="1">
    <dataValidation type="list" allowBlank="1" showInputMessage="1" showErrorMessage="1" sqref="B32 IX32 ST32 ACP32 AML32 AWH32 BGD32 BPZ32 BZV32 CJR32 CTN32 DDJ32 DNF32 DXB32 EGX32 EQT32 FAP32 FKL32 FUH32 GED32 GNZ32 GXV32 HHR32 HRN32 IBJ32 ILF32 IVB32 JEX32 JOT32 JYP32 KIL32 KSH32 LCD32 LLZ32 LVV32 MFR32 MPN32 MZJ32 NJF32 NTB32 OCX32 OMT32 OWP32 PGL32 PQH32 QAD32 QJZ32 QTV32 RDR32 RNN32 RXJ32 SHF32 SRB32 TAX32 TKT32 TUP32 UEL32 UOH32 UYD32 VHZ32 VRV32 WBR32 WLN32 WVJ32 B65581 IX65581 ST65581 ACP65581 AML65581 AWH65581 BGD65581 BPZ65581 BZV65581 CJR65581 CTN65581 DDJ65581 DNF65581 DXB65581 EGX65581 EQT65581 FAP65581 FKL65581 FUH65581 GED65581 GNZ65581 GXV65581 HHR65581 HRN65581 IBJ65581 ILF65581 IVB65581 JEX65581 JOT65581 JYP65581 KIL65581 KSH65581 LCD65581 LLZ65581 LVV65581 MFR65581 MPN65581 MZJ65581 NJF65581 NTB65581 OCX65581 OMT65581 OWP65581 PGL65581 PQH65581 QAD65581 QJZ65581 QTV65581 RDR65581 RNN65581 RXJ65581 SHF65581 SRB65581 TAX65581 TKT65581 TUP65581 UEL65581 UOH65581 UYD65581 VHZ65581 VRV65581 WBR65581 WLN65581 WVJ65581 B131117 IX131117 ST131117 ACP131117 AML131117 AWH131117 BGD131117 BPZ131117 BZV131117 CJR131117 CTN131117 DDJ131117 DNF131117 DXB131117 EGX131117 EQT131117 FAP131117 FKL131117 FUH131117 GED131117 GNZ131117 GXV131117 HHR131117 HRN131117 IBJ131117 ILF131117 IVB131117 JEX131117 JOT131117 JYP131117 KIL131117 KSH131117 LCD131117 LLZ131117 LVV131117 MFR131117 MPN131117 MZJ131117 NJF131117 NTB131117 OCX131117 OMT131117 OWP131117 PGL131117 PQH131117 QAD131117 QJZ131117 QTV131117 RDR131117 RNN131117 RXJ131117 SHF131117 SRB131117 TAX131117 TKT131117 TUP131117 UEL131117 UOH131117 UYD131117 VHZ131117 VRV131117 WBR131117 WLN131117 WVJ131117 B196653 IX196653 ST196653 ACP196653 AML196653 AWH196653 BGD196653 BPZ196653 BZV196653 CJR196653 CTN196653 DDJ196653 DNF196653 DXB196653 EGX196653 EQT196653 FAP196653 FKL196653 FUH196653 GED196653 GNZ196653 GXV196653 HHR196653 HRN196653 IBJ196653 ILF196653 IVB196653 JEX196653 JOT196653 JYP196653 KIL196653 KSH196653 LCD196653 LLZ196653 LVV196653 MFR196653 MPN196653 MZJ196653 NJF196653 NTB196653 OCX196653 OMT196653 OWP196653 PGL196653 PQH196653 QAD196653 QJZ196653 QTV196653 RDR196653 RNN196653 RXJ196653 SHF196653 SRB196653 TAX196653 TKT196653 TUP196653 UEL196653 UOH196653 UYD196653 VHZ196653 VRV196653 WBR196653 WLN196653 WVJ196653 B262189 IX262189 ST262189 ACP262189 AML262189 AWH262189 BGD262189 BPZ262189 BZV262189 CJR262189 CTN262189 DDJ262189 DNF262189 DXB262189 EGX262189 EQT262189 FAP262189 FKL262189 FUH262189 GED262189 GNZ262189 GXV262189 HHR262189 HRN262189 IBJ262189 ILF262189 IVB262189 JEX262189 JOT262189 JYP262189 KIL262189 KSH262189 LCD262189 LLZ262189 LVV262189 MFR262189 MPN262189 MZJ262189 NJF262189 NTB262189 OCX262189 OMT262189 OWP262189 PGL262189 PQH262189 QAD262189 QJZ262189 QTV262189 RDR262189 RNN262189 RXJ262189 SHF262189 SRB262189 TAX262189 TKT262189 TUP262189 UEL262189 UOH262189 UYD262189 VHZ262189 VRV262189 WBR262189 WLN262189 WVJ262189 B327725 IX327725 ST327725 ACP327725 AML327725 AWH327725 BGD327725 BPZ327725 BZV327725 CJR327725 CTN327725 DDJ327725 DNF327725 DXB327725 EGX327725 EQT327725 FAP327725 FKL327725 FUH327725 GED327725 GNZ327725 GXV327725 HHR327725 HRN327725 IBJ327725 ILF327725 IVB327725 JEX327725 JOT327725 JYP327725 KIL327725 KSH327725 LCD327725 LLZ327725 LVV327725 MFR327725 MPN327725 MZJ327725 NJF327725 NTB327725 OCX327725 OMT327725 OWP327725 PGL327725 PQH327725 QAD327725 QJZ327725 QTV327725 RDR327725 RNN327725 RXJ327725 SHF327725 SRB327725 TAX327725 TKT327725 TUP327725 UEL327725 UOH327725 UYD327725 VHZ327725 VRV327725 WBR327725 WLN327725 WVJ327725 B393261 IX393261 ST393261 ACP393261 AML393261 AWH393261 BGD393261 BPZ393261 BZV393261 CJR393261 CTN393261 DDJ393261 DNF393261 DXB393261 EGX393261 EQT393261 FAP393261 FKL393261 FUH393261 GED393261 GNZ393261 GXV393261 HHR393261 HRN393261 IBJ393261 ILF393261 IVB393261 JEX393261 JOT393261 JYP393261 KIL393261 KSH393261 LCD393261 LLZ393261 LVV393261 MFR393261 MPN393261 MZJ393261 NJF393261 NTB393261 OCX393261 OMT393261 OWP393261 PGL393261 PQH393261 QAD393261 QJZ393261 QTV393261 RDR393261 RNN393261 RXJ393261 SHF393261 SRB393261 TAX393261 TKT393261 TUP393261 UEL393261 UOH393261 UYD393261 VHZ393261 VRV393261 WBR393261 WLN393261 WVJ393261 B458797 IX458797 ST458797 ACP458797 AML458797 AWH458797 BGD458797 BPZ458797 BZV458797 CJR458797 CTN458797 DDJ458797 DNF458797 DXB458797 EGX458797 EQT458797 FAP458797 FKL458797 FUH458797 GED458797 GNZ458797 GXV458797 HHR458797 HRN458797 IBJ458797 ILF458797 IVB458797 JEX458797 JOT458797 JYP458797 KIL458797 KSH458797 LCD458797 LLZ458797 LVV458797 MFR458797 MPN458797 MZJ458797 NJF458797 NTB458797 OCX458797 OMT458797 OWP458797 PGL458797 PQH458797 QAD458797 QJZ458797 QTV458797 RDR458797 RNN458797 RXJ458797 SHF458797 SRB458797 TAX458797 TKT458797 TUP458797 UEL458797 UOH458797 UYD458797 VHZ458797 VRV458797 WBR458797 WLN458797 WVJ458797 B524333 IX524333 ST524333 ACP524333 AML524333 AWH524333 BGD524333 BPZ524333 BZV524333 CJR524333 CTN524333 DDJ524333 DNF524333 DXB524333 EGX524333 EQT524333 FAP524333 FKL524333 FUH524333 GED524333 GNZ524333 GXV524333 HHR524333 HRN524333 IBJ524333 ILF524333 IVB524333 JEX524333 JOT524333 JYP524333 KIL524333 KSH524333 LCD524333 LLZ524333 LVV524333 MFR524333 MPN524333 MZJ524333 NJF524333 NTB524333 OCX524333 OMT524333 OWP524333 PGL524333 PQH524333 QAD524333 QJZ524333 QTV524333 RDR524333 RNN524333 RXJ524333 SHF524333 SRB524333 TAX524333 TKT524333 TUP524333 UEL524333 UOH524333 UYD524333 VHZ524333 VRV524333 WBR524333 WLN524333 WVJ524333 B589869 IX589869 ST589869 ACP589869 AML589869 AWH589869 BGD589869 BPZ589869 BZV589869 CJR589869 CTN589869 DDJ589869 DNF589869 DXB589869 EGX589869 EQT589869 FAP589869 FKL589869 FUH589869 GED589869 GNZ589869 GXV589869 HHR589869 HRN589869 IBJ589869 ILF589869 IVB589869 JEX589869 JOT589869 JYP589869 KIL589869 KSH589869 LCD589869 LLZ589869 LVV589869 MFR589869 MPN589869 MZJ589869 NJF589869 NTB589869 OCX589869 OMT589869 OWP589869 PGL589869 PQH589869 QAD589869 QJZ589869 QTV589869 RDR589869 RNN589869 RXJ589869 SHF589869 SRB589869 TAX589869 TKT589869 TUP589869 UEL589869 UOH589869 UYD589869 VHZ589869 VRV589869 WBR589869 WLN589869 WVJ589869 B655405 IX655405 ST655405 ACP655405 AML655405 AWH655405 BGD655405 BPZ655405 BZV655405 CJR655405 CTN655405 DDJ655405 DNF655405 DXB655405 EGX655405 EQT655405 FAP655405 FKL655405 FUH655405 GED655405 GNZ655405 GXV655405 HHR655405 HRN655405 IBJ655405 ILF655405 IVB655405 JEX655405 JOT655405 JYP655405 KIL655405 KSH655405 LCD655405 LLZ655405 LVV655405 MFR655405 MPN655405 MZJ655405 NJF655405 NTB655405 OCX655405 OMT655405 OWP655405 PGL655405 PQH655405 QAD655405 QJZ655405 QTV655405 RDR655405 RNN655405 RXJ655405 SHF655405 SRB655405 TAX655405 TKT655405 TUP655405 UEL655405 UOH655405 UYD655405 VHZ655405 VRV655405 WBR655405 WLN655405 WVJ655405 B720941 IX720941 ST720941 ACP720941 AML720941 AWH720941 BGD720941 BPZ720941 BZV720941 CJR720941 CTN720941 DDJ720941 DNF720941 DXB720941 EGX720941 EQT720941 FAP720941 FKL720941 FUH720941 GED720941 GNZ720941 GXV720941 HHR720941 HRN720941 IBJ720941 ILF720941 IVB720941 JEX720941 JOT720941 JYP720941 KIL720941 KSH720941 LCD720941 LLZ720941 LVV720941 MFR720941 MPN720941 MZJ720941 NJF720941 NTB720941 OCX720941 OMT720941 OWP720941 PGL720941 PQH720941 QAD720941 QJZ720941 QTV720941 RDR720941 RNN720941 RXJ720941 SHF720941 SRB720941 TAX720941 TKT720941 TUP720941 UEL720941 UOH720941 UYD720941 VHZ720941 VRV720941 WBR720941 WLN720941 WVJ720941 B786477 IX786477 ST786477 ACP786477 AML786477 AWH786477 BGD786477 BPZ786477 BZV786477 CJR786477 CTN786477 DDJ786477 DNF786477 DXB786477 EGX786477 EQT786477 FAP786477 FKL786477 FUH786477 GED786477 GNZ786477 GXV786477 HHR786477 HRN786477 IBJ786477 ILF786477 IVB786477 JEX786477 JOT786477 JYP786477 KIL786477 KSH786477 LCD786477 LLZ786477 LVV786477 MFR786477 MPN786477 MZJ786477 NJF786477 NTB786477 OCX786477 OMT786477 OWP786477 PGL786477 PQH786477 QAD786477 QJZ786477 QTV786477 RDR786477 RNN786477 RXJ786477 SHF786477 SRB786477 TAX786477 TKT786477 TUP786477 UEL786477 UOH786477 UYD786477 VHZ786477 VRV786477 WBR786477 WLN786477 WVJ786477 B852013 IX852013 ST852013 ACP852013 AML852013 AWH852013 BGD852013 BPZ852013 BZV852013 CJR852013 CTN852013 DDJ852013 DNF852013 DXB852013 EGX852013 EQT852013 FAP852013 FKL852013 FUH852013 GED852013 GNZ852013 GXV852013 HHR852013 HRN852013 IBJ852013 ILF852013 IVB852013 JEX852013 JOT852013 JYP852013 KIL852013 KSH852013 LCD852013 LLZ852013 LVV852013 MFR852013 MPN852013 MZJ852013 NJF852013 NTB852013 OCX852013 OMT852013 OWP852013 PGL852013 PQH852013 QAD852013 QJZ852013 QTV852013 RDR852013 RNN852013 RXJ852013 SHF852013 SRB852013 TAX852013 TKT852013 TUP852013 UEL852013 UOH852013 UYD852013 VHZ852013 VRV852013 WBR852013 WLN852013 WVJ852013 B917549 IX917549 ST917549 ACP917549 AML917549 AWH917549 BGD917549 BPZ917549 BZV917549 CJR917549 CTN917549 DDJ917549 DNF917549 DXB917549 EGX917549 EQT917549 FAP917549 FKL917549 FUH917549 GED917549 GNZ917549 GXV917549 HHR917549 HRN917549 IBJ917549 ILF917549 IVB917549 JEX917549 JOT917549 JYP917549 KIL917549 KSH917549 LCD917549 LLZ917549 LVV917549 MFR917549 MPN917549 MZJ917549 NJF917549 NTB917549 OCX917549 OMT917549 OWP917549 PGL917549 PQH917549 QAD917549 QJZ917549 QTV917549 RDR917549 RNN917549 RXJ917549 SHF917549 SRB917549 TAX917549 TKT917549 TUP917549 UEL917549 UOH917549 UYD917549 VHZ917549 VRV917549 WBR917549 WLN917549 WVJ917549 B983085 IX983085 ST983085 ACP983085 AML983085 AWH983085 BGD983085 BPZ983085 BZV983085 CJR983085 CTN983085 DDJ983085 DNF983085 DXB983085 EGX983085 EQT983085 FAP983085 FKL983085 FUH983085 GED983085 GNZ983085 GXV983085 HHR983085 HRN983085 IBJ983085 ILF983085 IVB983085 JEX983085 JOT983085 JYP983085 KIL983085 KSH983085 LCD983085 LLZ983085 LVV983085 MFR983085 MPN983085 MZJ983085 NJF983085 NTB983085 OCX983085 OMT983085 OWP983085 PGL983085 PQH983085 QAD983085 QJZ983085 QTV983085 RDR983085 RNN983085 RXJ983085 SHF983085 SRB983085 TAX983085 TKT983085 TUP983085 UEL983085 UOH983085 UYD983085 VHZ983085 VRV983085 WBR983085 WLN983085 WVJ983085">
      <formula1>SeriesTypes</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2"/>
  <sheetViews>
    <sheetView tabSelected="1" workbookViewId="0"/>
  </sheetViews>
  <sheetFormatPr defaultRowHeight="15" x14ac:dyDescent="0.25"/>
  <cols>
    <col min="1" max="1" width="22.42578125" bestFit="1" customWidth="1"/>
    <col min="2" max="2" width="39.85546875" style="1" bestFit="1" customWidth="1"/>
    <col min="3" max="3" width="34.5703125" customWidth="1"/>
    <col min="4" max="4" width="16.28515625" bestFit="1" customWidth="1"/>
    <col min="5" max="5" width="38.28515625" bestFit="1" customWidth="1"/>
  </cols>
  <sheetData>
    <row r="1" spans="1:5" x14ac:dyDescent="0.25">
      <c r="A1" s="2" t="s">
        <v>6</v>
      </c>
      <c r="B1" s="3" t="s">
        <v>7</v>
      </c>
    </row>
    <row r="2" spans="1:5" x14ac:dyDescent="0.25">
      <c r="A2" t="s">
        <v>2</v>
      </c>
      <c r="B2" s="4" t="s">
        <v>324</v>
      </c>
      <c r="E2" s="5"/>
    </row>
    <row r="3" spans="1:5" x14ac:dyDescent="0.25">
      <c r="A3" t="s">
        <v>3</v>
      </c>
      <c r="B3" s="4" t="s">
        <v>325</v>
      </c>
    </row>
    <row r="4" spans="1:5" x14ac:dyDescent="0.25">
      <c r="A4" t="s">
        <v>14</v>
      </c>
      <c r="B4" s="4" t="s">
        <v>326</v>
      </c>
    </row>
    <row r="5" spans="1:5" x14ac:dyDescent="0.25">
      <c r="A5" t="s">
        <v>4</v>
      </c>
      <c r="B5" s="4">
        <v>2011</v>
      </c>
    </row>
    <row r="6" spans="1:5" x14ac:dyDescent="0.25">
      <c r="A6" t="s">
        <v>57</v>
      </c>
      <c r="B6" s="4">
        <v>31</v>
      </c>
    </row>
    <row r="7" spans="1:5" x14ac:dyDescent="0.25">
      <c r="A7" t="s">
        <v>5</v>
      </c>
      <c r="B7" s="47">
        <v>1000</v>
      </c>
    </row>
    <row r="8" spans="1:5" x14ac:dyDescent="0.25">
      <c r="A8" t="s">
        <v>186</v>
      </c>
      <c r="B8" s="4" t="s">
        <v>190</v>
      </c>
    </row>
    <row r="9" spans="1:5" x14ac:dyDescent="0.25">
      <c r="A9" t="s">
        <v>191</v>
      </c>
      <c r="B9" s="4" t="s">
        <v>339</v>
      </c>
    </row>
    <row r="10" spans="1:5" x14ac:dyDescent="0.25">
      <c r="B10"/>
    </row>
    <row r="11" spans="1:5" x14ac:dyDescent="0.25">
      <c r="B11" s="7" t="s">
        <v>135</v>
      </c>
      <c r="C11" s="7" t="s">
        <v>136</v>
      </c>
      <c r="D11" s="8" t="s">
        <v>187</v>
      </c>
      <c r="E11" s="8" t="str">
        <f>"Relation to Threshold Signifying " &amp; B8</f>
        <v>Relation to Threshold Signifying Default</v>
      </c>
    </row>
    <row r="12" spans="1:5" x14ac:dyDescent="0.25">
      <c r="A12" s="27" t="s">
        <v>137</v>
      </c>
      <c r="B12" s="28" t="s">
        <v>1</v>
      </c>
      <c r="C12" s="29" t="s">
        <v>138</v>
      </c>
      <c r="D12" s="29">
        <v>0.3</v>
      </c>
      <c r="E12" s="30" t="s">
        <v>197</v>
      </c>
    </row>
    <row r="13" spans="1:5" x14ac:dyDescent="0.25">
      <c r="A13" s="9" t="s">
        <v>139</v>
      </c>
      <c r="B13" s="6" t="s">
        <v>0</v>
      </c>
      <c r="C13" s="10" t="s">
        <v>140</v>
      </c>
      <c r="D13" s="74"/>
      <c r="E13" s="75"/>
    </row>
    <row r="14" spans="1:5" x14ac:dyDescent="0.25">
      <c r="A14" s="9" t="s">
        <v>141</v>
      </c>
      <c r="B14" s="6" t="s">
        <v>142</v>
      </c>
      <c r="C14" s="10" t="s">
        <v>143</v>
      </c>
      <c r="D14" s="76"/>
      <c r="E14" s="77"/>
    </row>
    <row r="15" spans="1:5" x14ac:dyDescent="0.25">
      <c r="A15" s="9" t="s">
        <v>144</v>
      </c>
      <c r="B15" s="6" t="s">
        <v>145</v>
      </c>
      <c r="C15" s="10" t="s">
        <v>146</v>
      </c>
      <c r="D15" s="76"/>
      <c r="E15" s="77"/>
    </row>
    <row r="16" spans="1:5" x14ac:dyDescent="0.25">
      <c r="A16" s="9" t="s">
        <v>147</v>
      </c>
      <c r="B16" s="6" t="s">
        <v>286</v>
      </c>
      <c r="C16" s="10" t="s">
        <v>250</v>
      </c>
      <c r="D16" s="76"/>
      <c r="E16" s="77"/>
    </row>
    <row r="18" spans="1:2" x14ac:dyDescent="0.25">
      <c r="B18" s="39" t="s">
        <v>287</v>
      </c>
    </row>
    <row r="19" spans="1:2" x14ac:dyDescent="0.25">
      <c r="B19" s="38"/>
    </row>
    <row r="22" spans="1:2" x14ac:dyDescent="0.25">
      <c r="A22" s="37"/>
    </row>
  </sheetData>
  <mergeCells count="1">
    <mergeCell ref="D13:E16"/>
  </mergeCells>
  <dataValidations count="2">
    <dataValidation type="whole" errorStyle="warning" allowBlank="1" showInputMessage="1" showErrorMessage="1" errorTitle="Warning" error="Show Projection Details should be set to &quot;N&quot; when running a large number of trials." sqref="B7">
      <formula1>1</formula1>
      <formula2>1000</formula2>
    </dataValidation>
    <dataValidation allowBlank="1" showInputMessage="1" showErrorMessage="1" promptTitle="Warning" prompt="Value Should Be Set to &quot;N&quot; When Running a Large Number of Trials." sqref="B9"/>
  </dataValidations>
  <pageMargins left="0.7" right="0.7" top="0.75" bottom="0.75" header="0.3" footer="0.3"/>
  <pageSetup paperSize="9" orientation="portrait" horizontalDpi="360" verticalDpi="360" r:id="rId1"/>
  <drawing r:id="rId2"/>
  <legacyDrawing r:id="rId3"/>
  <controls>
    <mc:AlternateContent xmlns:mc="http://schemas.openxmlformats.org/markup-compatibility/2006">
      <mc:Choice Requires="x14">
        <control shapeId="2049" r:id="rId4" name="CommandButtonPanel">
          <controlPr defaultSize="0" autoLine="0" r:id="rId5">
            <anchor moveWithCells="1">
              <from>
                <xdr:col>1</xdr:col>
                <xdr:colOff>257175</xdr:colOff>
                <xdr:row>20</xdr:row>
                <xdr:rowOff>0</xdr:rowOff>
              </from>
              <to>
                <xdr:col>1</xdr:col>
                <xdr:colOff>2400300</xdr:colOff>
                <xdr:row>22</xdr:row>
                <xdr:rowOff>0</xdr:rowOff>
              </to>
            </anchor>
          </controlPr>
        </control>
      </mc:Choice>
      <mc:Fallback>
        <control shapeId="2049" r:id="rId4" name="CommandButtonPanel"/>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P43"/>
  <sheetViews>
    <sheetView zoomScale="75" zoomScaleNormal="75" workbookViewId="0">
      <pane xSplit="1" ySplit="1" topLeftCell="E2" activePane="bottomRight" state="frozen"/>
      <selection pane="topRight" activeCell="B1" sqref="B1"/>
      <selection pane="bottomLeft" activeCell="A2" sqref="A2"/>
      <selection pane="bottomRight" activeCell="M32" sqref="M32"/>
    </sheetView>
  </sheetViews>
  <sheetFormatPr defaultRowHeight="15" x14ac:dyDescent="0.25"/>
  <cols>
    <col min="1" max="1" width="23.140625" style="37" bestFit="1" customWidth="1"/>
    <col min="2" max="2" width="63" style="37" bestFit="1" customWidth="1"/>
    <col min="3" max="3" width="17" style="37" bestFit="1" customWidth="1"/>
    <col min="4" max="4" width="19.28515625" style="37" bestFit="1" customWidth="1"/>
    <col min="5" max="5" width="9.5703125" style="37" bestFit="1" customWidth="1"/>
    <col min="6" max="6" width="9.85546875" style="37" bestFit="1" customWidth="1"/>
    <col min="7" max="7" width="13.42578125" style="37" bestFit="1" customWidth="1"/>
    <col min="8" max="8" width="22.42578125" style="37" bestFit="1" customWidth="1"/>
    <col min="9" max="9" width="56.5703125" style="37" bestFit="1" customWidth="1"/>
    <col min="10" max="10" width="21.5703125" style="37" bestFit="1" customWidth="1"/>
    <col min="11" max="11" width="16.85546875" style="63" bestFit="1" customWidth="1"/>
    <col min="12" max="42" width="98.7109375" style="46" customWidth="1"/>
    <col min="43" max="44" width="9.140625" style="37"/>
    <col min="45" max="56" width="9.28515625" style="37" bestFit="1" customWidth="1"/>
    <col min="57" max="76" width="10.42578125" style="37" bestFit="1" customWidth="1"/>
    <col min="77" max="16384" width="9.140625" style="37"/>
  </cols>
  <sheetData>
    <row r="1" spans="1:42" s="2" customFormat="1" x14ac:dyDescent="0.25">
      <c r="A1" s="2" t="s">
        <v>8</v>
      </c>
      <c r="B1" s="2" t="s">
        <v>17</v>
      </c>
      <c r="C1" s="48" t="s">
        <v>9</v>
      </c>
      <c r="D1" s="3" t="s">
        <v>130</v>
      </c>
      <c r="E1" s="3" t="s">
        <v>59</v>
      </c>
      <c r="F1" s="3" t="s">
        <v>60</v>
      </c>
      <c r="G1" s="3" t="s">
        <v>91</v>
      </c>
      <c r="H1" s="3" t="s">
        <v>92</v>
      </c>
      <c r="I1" s="48" t="s">
        <v>61</v>
      </c>
      <c r="J1" s="3" t="s">
        <v>93</v>
      </c>
      <c r="K1" s="3" t="s">
        <v>26</v>
      </c>
      <c r="L1" s="3" t="s">
        <v>27</v>
      </c>
      <c r="M1" s="3" t="s">
        <v>28</v>
      </c>
      <c r="N1" s="3" t="s">
        <v>29</v>
      </c>
      <c r="O1" s="3" t="s">
        <v>30</v>
      </c>
      <c r="P1" s="3" t="s">
        <v>31</v>
      </c>
      <c r="Q1" s="3" t="s">
        <v>32</v>
      </c>
      <c r="R1" s="3" t="s">
        <v>33</v>
      </c>
      <c r="S1" s="3" t="s">
        <v>34</v>
      </c>
      <c r="T1" s="3" t="s">
        <v>35</v>
      </c>
      <c r="U1" s="3" t="s">
        <v>36</v>
      </c>
      <c r="V1" s="3" t="s">
        <v>37</v>
      </c>
      <c r="W1" s="3" t="s">
        <v>38</v>
      </c>
      <c r="X1" s="3" t="s">
        <v>39</v>
      </c>
      <c r="Y1" s="3" t="s">
        <v>40</v>
      </c>
      <c r="Z1" s="3" t="s">
        <v>41</v>
      </c>
      <c r="AA1" s="3" t="s">
        <v>42</v>
      </c>
      <c r="AB1" s="3" t="s">
        <v>43</v>
      </c>
      <c r="AC1" s="3" t="s">
        <v>44</v>
      </c>
      <c r="AD1" s="3" t="s">
        <v>45</v>
      </c>
      <c r="AE1" s="3" t="s">
        <v>46</v>
      </c>
      <c r="AF1" s="3" t="s">
        <v>47</v>
      </c>
      <c r="AG1" s="3" t="s">
        <v>48</v>
      </c>
      <c r="AH1" s="3" t="s">
        <v>49</v>
      </c>
      <c r="AI1" s="3" t="s">
        <v>50</v>
      </c>
      <c r="AJ1" s="3" t="s">
        <v>51</v>
      </c>
      <c r="AK1" s="3" t="s">
        <v>52</v>
      </c>
      <c r="AL1" s="3" t="s">
        <v>53</v>
      </c>
      <c r="AM1" s="3" t="s">
        <v>54</v>
      </c>
      <c r="AN1" s="3" t="s">
        <v>55</v>
      </c>
      <c r="AO1" s="3" t="s">
        <v>56</v>
      </c>
      <c r="AP1" s="3" t="s">
        <v>118</v>
      </c>
    </row>
    <row r="2" spans="1:42" x14ac:dyDescent="0.25">
      <c r="A2" s="49" t="s">
        <v>198</v>
      </c>
      <c r="B2" s="49" t="s">
        <v>199</v>
      </c>
      <c r="C2" s="50" t="s">
        <v>58</v>
      </c>
      <c r="D2" s="51" t="s">
        <v>132</v>
      </c>
      <c r="E2" s="51"/>
      <c r="F2" s="51"/>
      <c r="G2" s="51">
        <v>0</v>
      </c>
      <c r="H2" s="51">
        <v>0.5</v>
      </c>
      <c r="I2" s="49" t="s">
        <v>200</v>
      </c>
      <c r="J2" s="51" t="s">
        <v>94</v>
      </c>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row>
    <row r="3" spans="1:42" x14ac:dyDescent="0.25">
      <c r="A3" s="49" t="s">
        <v>298</v>
      </c>
      <c r="B3" s="49" t="s">
        <v>299</v>
      </c>
      <c r="C3" s="50" t="s">
        <v>58</v>
      </c>
      <c r="D3" s="51" t="s">
        <v>132</v>
      </c>
      <c r="E3" s="51"/>
      <c r="F3" s="51"/>
      <c r="G3" s="51">
        <v>0</v>
      </c>
      <c r="H3" s="51">
        <v>0.5</v>
      </c>
      <c r="I3" s="49" t="s">
        <v>300</v>
      </c>
      <c r="J3" s="51" t="s">
        <v>94</v>
      </c>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row>
    <row r="4" spans="1:42" x14ac:dyDescent="0.25">
      <c r="A4" s="49" t="s">
        <v>201</v>
      </c>
      <c r="B4" s="49" t="s">
        <v>202</v>
      </c>
      <c r="C4" s="50" t="s">
        <v>58</v>
      </c>
      <c r="D4" s="51" t="s">
        <v>132</v>
      </c>
      <c r="E4" s="51"/>
      <c r="F4" s="51"/>
      <c r="G4" s="51">
        <v>0</v>
      </c>
      <c r="H4" s="51">
        <v>0.5</v>
      </c>
      <c r="I4" s="49" t="s">
        <v>203</v>
      </c>
      <c r="J4" s="51" t="s">
        <v>94</v>
      </c>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row>
    <row r="5" spans="1:42" x14ac:dyDescent="0.25">
      <c r="A5" s="49" t="s">
        <v>204</v>
      </c>
      <c r="B5" s="49" t="s">
        <v>205</v>
      </c>
      <c r="C5" s="50" t="s">
        <v>58</v>
      </c>
      <c r="D5" s="51" t="s">
        <v>132</v>
      </c>
      <c r="E5" s="51"/>
      <c r="F5" s="51"/>
      <c r="G5" s="51">
        <v>0</v>
      </c>
      <c r="H5" s="51">
        <v>0.5</v>
      </c>
      <c r="I5" s="49" t="s">
        <v>206</v>
      </c>
      <c r="J5" s="51" t="s">
        <v>94</v>
      </c>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row>
    <row r="6" spans="1:42" x14ac:dyDescent="0.25">
      <c r="A6" s="49" t="s">
        <v>208</v>
      </c>
      <c r="B6" s="49" t="s">
        <v>209</v>
      </c>
      <c r="C6" s="50" t="s">
        <v>58</v>
      </c>
      <c r="D6" s="51" t="s">
        <v>132</v>
      </c>
      <c r="E6" s="51"/>
      <c r="F6" s="51"/>
      <c r="G6" s="51">
        <v>0</v>
      </c>
      <c r="H6" s="51">
        <v>0.5</v>
      </c>
      <c r="I6" s="49" t="s">
        <v>207</v>
      </c>
      <c r="J6" s="51" t="s">
        <v>94</v>
      </c>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row>
    <row r="7" spans="1:42" x14ac:dyDescent="0.25">
      <c r="A7" s="49" t="s">
        <v>210</v>
      </c>
      <c r="B7" s="49" t="s">
        <v>211</v>
      </c>
      <c r="C7" s="50" t="s">
        <v>12</v>
      </c>
      <c r="D7" s="51" t="s">
        <v>212</v>
      </c>
      <c r="E7" s="51"/>
      <c r="F7" s="51"/>
      <c r="G7" s="51"/>
      <c r="H7" s="51"/>
      <c r="I7" s="50" t="s">
        <v>213</v>
      </c>
      <c r="J7" s="51" t="s">
        <v>94</v>
      </c>
      <c r="K7" s="51">
        <v>31</v>
      </c>
      <c r="L7" s="51">
        <v>32</v>
      </c>
      <c r="M7" s="51">
        <v>33</v>
      </c>
      <c r="N7" s="51">
        <v>34</v>
      </c>
      <c r="O7" s="51">
        <v>35</v>
      </c>
      <c r="P7" s="51">
        <v>36</v>
      </c>
      <c r="Q7" s="51">
        <v>37</v>
      </c>
      <c r="R7" s="51">
        <v>38</v>
      </c>
      <c r="S7" s="51">
        <v>39</v>
      </c>
      <c r="T7" s="51">
        <v>40</v>
      </c>
      <c r="U7" s="51">
        <v>41</v>
      </c>
      <c r="V7" s="51">
        <v>42</v>
      </c>
      <c r="W7" s="51">
        <v>43</v>
      </c>
      <c r="X7" s="51">
        <v>44</v>
      </c>
      <c r="Y7" s="51">
        <v>45</v>
      </c>
      <c r="Z7" s="51">
        <v>46</v>
      </c>
      <c r="AA7" s="51">
        <v>47</v>
      </c>
      <c r="AB7" s="51">
        <v>48</v>
      </c>
      <c r="AC7" s="51">
        <v>49</v>
      </c>
      <c r="AD7" s="51">
        <v>50</v>
      </c>
      <c r="AE7" s="51">
        <v>51</v>
      </c>
      <c r="AF7" s="51">
        <v>52</v>
      </c>
      <c r="AG7" s="51">
        <v>53</v>
      </c>
      <c r="AH7" s="51">
        <v>54</v>
      </c>
      <c r="AI7" s="51">
        <v>55</v>
      </c>
      <c r="AJ7" s="51">
        <v>56</v>
      </c>
      <c r="AK7" s="51">
        <v>57</v>
      </c>
      <c r="AL7" s="51">
        <v>58</v>
      </c>
      <c r="AM7" s="51">
        <v>59</v>
      </c>
      <c r="AN7" s="51">
        <v>60</v>
      </c>
      <c r="AO7" s="51">
        <v>61</v>
      </c>
      <c r="AP7" s="51">
        <v>62</v>
      </c>
    </row>
    <row r="8" spans="1:42" x14ac:dyDescent="0.25">
      <c r="A8" s="49" t="s">
        <v>214</v>
      </c>
      <c r="B8" s="49" t="s">
        <v>215</v>
      </c>
      <c r="C8" s="50" t="s">
        <v>12</v>
      </c>
      <c r="D8" s="51" t="s">
        <v>134</v>
      </c>
      <c r="E8" s="51"/>
      <c r="F8" s="51"/>
      <c r="G8" s="51"/>
      <c r="H8" s="51"/>
      <c r="I8" s="50" t="s">
        <v>327</v>
      </c>
      <c r="J8" s="51" t="s">
        <v>94</v>
      </c>
      <c r="K8" s="65">
        <v>288844</v>
      </c>
      <c r="L8" s="65">
        <v>294941</v>
      </c>
      <c r="M8" s="65">
        <v>301117</v>
      </c>
      <c r="N8" s="65">
        <v>307530</v>
      </c>
      <c r="O8" s="65">
        <v>312004</v>
      </c>
      <c r="P8" s="65">
        <v>316517</v>
      </c>
      <c r="Q8" s="65">
        <v>320911</v>
      </c>
      <c r="R8" s="65">
        <v>325187</v>
      </c>
      <c r="S8" s="65">
        <v>329186</v>
      </c>
      <c r="T8" s="65">
        <v>332907</v>
      </c>
      <c r="U8" s="65">
        <v>336312</v>
      </c>
      <c r="V8" s="65">
        <v>339281</v>
      </c>
      <c r="W8" s="65">
        <v>341854</v>
      </c>
      <c r="X8" s="65">
        <v>343992</v>
      </c>
      <c r="Y8" s="65">
        <v>345694</v>
      </c>
      <c r="Z8" s="65">
        <v>346961</v>
      </c>
      <c r="AA8" s="65">
        <v>347832</v>
      </c>
      <c r="AB8" s="65">
        <v>348347</v>
      </c>
      <c r="AC8" s="65">
        <v>348624</v>
      </c>
      <c r="AD8" s="65">
        <v>348743</v>
      </c>
      <c r="AE8" s="65">
        <v>348822</v>
      </c>
      <c r="AF8" s="65">
        <v>348980</v>
      </c>
      <c r="AG8" s="65">
        <v>349376</v>
      </c>
      <c r="AH8" s="65">
        <v>350049</v>
      </c>
      <c r="AI8" s="65">
        <v>351078</v>
      </c>
      <c r="AJ8" s="65">
        <v>352583</v>
      </c>
      <c r="AK8" s="65">
        <v>353856</v>
      </c>
      <c r="AL8" s="65">
        <v>355010</v>
      </c>
      <c r="AM8" s="65">
        <v>356090</v>
      </c>
      <c r="AN8" s="65">
        <v>357214</v>
      </c>
      <c r="AO8" s="65">
        <v>358292</v>
      </c>
      <c r="AP8" s="65">
        <v>359339</v>
      </c>
    </row>
    <row r="9" spans="1:42" x14ac:dyDescent="0.25">
      <c r="A9" s="49" t="s">
        <v>100</v>
      </c>
      <c r="B9" s="49" t="s">
        <v>101</v>
      </c>
      <c r="C9" s="50" t="s">
        <v>12</v>
      </c>
      <c r="D9" s="51" t="s">
        <v>134</v>
      </c>
      <c r="E9" s="51"/>
      <c r="F9" s="51"/>
      <c r="G9" s="51"/>
      <c r="H9" s="51"/>
      <c r="I9" s="50" t="s">
        <v>327</v>
      </c>
      <c r="J9" s="51" t="s">
        <v>94</v>
      </c>
      <c r="K9" s="65">
        <v>944215</v>
      </c>
      <c r="L9" s="65">
        <v>940311</v>
      </c>
      <c r="M9" s="65">
        <v>938319</v>
      </c>
      <c r="N9" s="65">
        <v>937761</v>
      </c>
      <c r="O9" s="65">
        <v>939633</v>
      </c>
      <c r="P9" s="65">
        <v>943657</v>
      </c>
      <c r="Q9" s="65">
        <v>950670</v>
      </c>
      <c r="R9" s="65">
        <v>959714</v>
      </c>
      <c r="S9" s="65">
        <v>970431</v>
      </c>
      <c r="T9" s="65">
        <v>981826</v>
      </c>
      <c r="U9" s="65">
        <v>995213</v>
      </c>
      <c r="V9" s="65">
        <v>1009277</v>
      </c>
      <c r="W9" s="65">
        <v>1023700</v>
      </c>
      <c r="X9" s="65">
        <v>1037326</v>
      </c>
      <c r="Y9" s="65">
        <v>1051589</v>
      </c>
      <c r="Z9" s="65">
        <v>1065614</v>
      </c>
      <c r="AA9" s="65">
        <v>1080276</v>
      </c>
      <c r="AB9" s="65">
        <v>1094180</v>
      </c>
      <c r="AC9" s="65">
        <v>1107607</v>
      </c>
      <c r="AD9" s="65">
        <v>1118484</v>
      </c>
      <c r="AE9" s="65">
        <v>1128484</v>
      </c>
      <c r="AF9" s="65">
        <v>1137688</v>
      </c>
      <c r="AG9" s="65">
        <v>1145935</v>
      </c>
      <c r="AH9" s="65">
        <v>1153306</v>
      </c>
      <c r="AI9" s="65">
        <v>1159720</v>
      </c>
      <c r="AJ9" s="65">
        <v>1165418</v>
      </c>
      <c r="AK9" s="65">
        <v>1170246</v>
      </c>
      <c r="AL9" s="65">
        <v>1174573</v>
      </c>
      <c r="AM9" s="65">
        <v>1178909</v>
      </c>
      <c r="AN9" s="65">
        <v>1183527</v>
      </c>
      <c r="AO9" s="65">
        <v>1188977</v>
      </c>
      <c r="AP9" s="65">
        <v>1195539</v>
      </c>
    </row>
    <row r="10" spans="1:42" x14ac:dyDescent="0.25">
      <c r="A10" s="49" t="s">
        <v>216</v>
      </c>
      <c r="B10" s="49" t="s">
        <v>217</v>
      </c>
      <c r="C10" s="50" t="s">
        <v>12</v>
      </c>
      <c r="D10" s="51" t="s">
        <v>134</v>
      </c>
      <c r="E10" s="51"/>
      <c r="F10" s="51"/>
      <c r="G10" s="51"/>
      <c r="H10" s="51"/>
      <c r="I10" s="50" t="s">
        <v>327</v>
      </c>
      <c r="J10" s="51" t="s">
        <v>94</v>
      </c>
      <c r="K10" s="65">
        <v>4465284</v>
      </c>
      <c r="L10" s="65">
        <v>4528552</v>
      </c>
      <c r="M10" s="65">
        <v>4590545</v>
      </c>
      <c r="N10" s="65">
        <v>4650544</v>
      </c>
      <c r="O10" s="65">
        <v>4709825</v>
      </c>
      <c r="P10" s="65">
        <v>4766914</v>
      </c>
      <c r="Q10" s="65">
        <v>4823166</v>
      </c>
      <c r="R10" s="65">
        <v>4878660</v>
      </c>
      <c r="S10" s="65">
        <v>4934632</v>
      </c>
      <c r="T10" s="65">
        <v>4990366</v>
      </c>
      <c r="U10" s="65">
        <v>5046697</v>
      </c>
      <c r="V10" s="65">
        <v>5102430</v>
      </c>
      <c r="W10" s="65">
        <v>5159041</v>
      </c>
      <c r="X10" s="65">
        <v>5216169</v>
      </c>
      <c r="Y10" s="65">
        <v>5275730</v>
      </c>
      <c r="Z10" s="65">
        <v>5335968</v>
      </c>
      <c r="AA10" s="65">
        <v>5396725</v>
      </c>
      <c r="AB10" s="65">
        <v>5458039</v>
      </c>
      <c r="AC10" s="65">
        <v>5519793</v>
      </c>
      <c r="AD10" s="65">
        <v>5582024</v>
      </c>
      <c r="AE10" s="65">
        <v>5644535</v>
      </c>
      <c r="AF10" s="65">
        <v>5707245</v>
      </c>
      <c r="AG10" s="65">
        <v>5770154</v>
      </c>
      <c r="AH10" s="65">
        <v>5832944</v>
      </c>
      <c r="AI10" s="65">
        <v>5895654</v>
      </c>
      <c r="AJ10" s="65">
        <v>5958045</v>
      </c>
      <c r="AK10" s="65">
        <v>6011191</v>
      </c>
      <c r="AL10" s="65">
        <v>6059574</v>
      </c>
      <c r="AM10" s="65">
        <v>6105123</v>
      </c>
      <c r="AN10" s="65">
        <v>6152704</v>
      </c>
      <c r="AO10" s="65">
        <v>6198582</v>
      </c>
      <c r="AP10" s="65">
        <v>6243283</v>
      </c>
    </row>
    <row r="11" spans="1:42" x14ac:dyDescent="0.25">
      <c r="A11" s="49" t="s">
        <v>102</v>
      </c>
      <c r="B11" s="49" t="s">
        <v>103</v>
      </c>
      <c r="C11" s="50" t="s">
        <v>12</v>
      </c>
      <c r="D11" s="51" t="s">
        <v>134</v>
      </c>
      <c r="E11" s="51"/>
      <c r="F11" s="51"/>
      <c r="G11" s="51"/>
      <c r="H11" s="51"/>
      <c r="I11" s="50" t="s">
        <v>327</v>
      </c>
      <c r="J11" s="51" t="s">
        <v>94</v>
      </c>
      <c r="K11" s="65">
        <v>946243</v>
      </c>
      <c r="L11" s="65">
        <v>985645</v>
      </c>
      <c r="M11" s="65">
        <v>1023297</v>
      </c>
      <c r="N11" s="65">
        <v>1059198</v>
      </c>
      <c r="O11" s="65">
        <v>1095600</v>
      </c>
      <c r="P11" s="65">
        <v>1133001</v>
      </c>
      <c r="Q11" s="65">
        <v>1171003</v>
      </c>
      <c r="R11" s="65">
        <v>1211705</v>
      </c>
      <c r="S11" s="65">
        <v>1255007</v>
      </c>
      <c r="T11" s="65">
        <v>1300909</v>
      </c>
      <c r="U11" s="65">
        <v>1347211</v>
      </c>
      <c r="V11" s="65">
        <v>1395713</v>
      </c>
      <c r="W11" s="65">
        <v>1445416</v>
      </c>
      <c r="X11" s="65">
        <v>1496068</v>
      </c>
      <c r="Y11" s="65">
        <v>1549270</v>
      </c>
      <c r="Z11" s="65">
        <v>1604223</v>
      </c>
      <c r="AA11" s="65">
        <v>1658825</v>
      </c>
      <c r="AB11" s="65">
        <v>1716378</v>
      </c>
      <c r="AC11" s="65">
        <v>1772881</v>
      </c>
      <c r="AD11" s="65">
        <v>1825383</v>
      </c>
      <c r="AE11" s="65">
        <v>1870285</v>
      </c>
      <c r="AF11" s="65">
        <v>1909087</v>
      </c>
      <c r="AG11" s="65">
        <v>1945738</v>
      </c>
      <c r="AH11" s="65">
        <v>1981490</v>
      </c>
      <c r="AI11" s="65">
        <v>2016892</v>
      </c>
      <c r="AJ11" s="65">
        <v>2051343</v>
      </c>
      <c r="AK11" s="65">
        <v>2080879</v>
      </c>
      <c r="AL11" s="65">
        <v>2107913</v>
      </c>
      <c r="AM11" s="65">
        <v>2133489</v>
      </c>
      <c r="AN11" s="65">
        <v>2160328</v>
      </c>
      <c r="AO11" s="65">
        <v>2186329</v>
      </c>
      <c r="AP11" s="65">
        <v>2211778</v>
      </c>
    </row>
    <row r="12" spans="1:42" s="49" customFormat="1" x14ac:dyDescent="0.25">
      <c r="A12" s="49" t="s">
        <v>218</v>
      </c>
      <c r="B12" s="49" t="s">
        <v>219</v>
      </c>
      <c r="C12" s="50" t="s">
        <v>12</v>
      </c>
      <c r="D12" s="51" t="s">
        <v>134</v>
      </c>
      <c r="E12" s="51"/>
      <c r="F12" s="51"/>
      <c r="G12" s="51"/>
      <c r="H12" s="51"/>
      <c r="I12" s="50" t="s">
        <v>327</v>
      </c>
      <c r="J12" s="51" t="s">
        <v>94</v>
      </c>
      <c r="K12" s="65">
        <f>K10-K11</f>
        <v>3519041</v>
      </c>
      <c r="L12" s="65">
        <f t="shared" ref="L12:AP12" si="0">L10-L11</f>
        <v>3542907</v>
      </c>
      <c r="M12" s="65">
        <f t="shared" si="0"/>
        <v>3567248</v>
      </c>
      <c r="N12" s="65">
        <f t="shared" si="0"/>
        <v>3591346</v>
      </c>
      <c r="O12" s="65">
        <f t="shared" si="0"/>
        <v>3614225</v>
      </c>
      <c r="P12" s="65">
        <f t="shared" si="0"/>
        <v>3633913</v>
      </c>
      <c r="Q12" s="65">
        <f t="shared" si="0"/>
        <v>3652163</v>
      </c>
      <c r="R12" s="65">
        <f t="shared" si="0"/>
        <v>3666955</v>
      </c>
      <c r="S12" s="65">
        <f t="shared" si="0"/>
        <v>3679625</v>
      </c>
      <c r="T12" s="65">
        <f t="shared" si="0"/>
        <v>3689457</v>
      </c>
      <c r="U12" s="65">
        <f t="shared" si="0"/>
        <v>3699486</v>
      </c>
      <c r="V12" s="65">
        <f t="shared" si="0"/>
        <v>3706717</v>
      </c>
      <c r="W12" s="65">
        <f t="shared" si="0"/>
        <v>3713625</v>
      </c>
      <c r="X12" s="65">
        <f t="shared" si="0"/>
        <v>3720101</v>
      </c>
      <c r="Y12" s="65">
        <f t="shared" si="0"/>
        <v>3726460</v>
      </c>
      <c r="Z12" s="65">
        <f t="shared" si="0"/>
        <v>3731745</v>
      </c>
      <c r="AA12" s="65">
        <f t="shared" si="0"/>
        <v>3737900</v>
      </c>
      <c r="AB12" s="65">
        <f t="shared" si="0"/>
        <v>3741661</v>
      </c>
      <c r="AC12" s="65">
        <f t="shared" si="0"/>
        <v>3746912</v>
      </c>
      <c r="AD12" s="65">
        <f t="shared" si="0"/>
        <v>3756641</v>
      </c>
      <c r="AE12" s="65">
        <f t="shared" si="0"/>
        <v>3774250</v>
      </c>
      <c r="AF12" s="65">
        <f t="shared" si="0"/>
        <v>3798158</v>
      </c>
      <c r="AG12" s="65">
        <f t="shared" si="0"/>
        <v>3824416</v>
      </c>
      <c r="AH12" s="65">
        <f t="shared" si="0"/>
        <v>3851454</v>
      </c>
      <c r="AI12" s="65">
        <f t="shared" si="0"/>
        <v>3878762</v>
      </c>
      <c r="AJ12" s="65">
        <f t="shared" si="0"/>
        <v>3906702</v>
      </c>
      <c r="AK12" s="65">
        <f t="shared" si="0"/>
        <v>3930312</v>
      </c>
      <c r="AL12" s="65">
        <f t="shared" si="0"/>
        <v>3951661</v>
      </c>
      <c r="AM12" s="65">
        <f t="shared" si="0"/>
        <v>3971634</v>
      </c>
      <c r="AN12" s="65">
        <f t="shared" si="0"/>
        <v>3992376</v>
      </c>
      <c r="AO12" s="65">
        <f t="shared" si="0"/>
        <v>4012253</v>
      </c>
      <c r="AP12" s="65">
        <f t="shared" si="0"/>
        <v>4031505</v>
      </c>
    </row>
    <row r="13" spans="1:42" s="49" customFormat="1" x14ac:dyDescent="0.25">
      <c r="A13" s="37" t="s">
        <v>18</v>
      </c>
      <c r="B13" s="37" t="s">
        <v>16</v>
      </c>
      <c r="C13" s="50" t="s">
        <v>12</v>
      </c>
      <c r="D13" s="51" t="s">
        <v>134</v>
      </c>
      <c r="E13" s="51"/>
      <c r="F13" s="51"/>
      <c r="G13" s="51"/>
      <c r="H13" s="51"/>
      <c r="I13" s="50" t="s">
        <v>327</v>
      </c>
      <c r="J13" s="51" t="s">
        <v>94</v>
      </c>
      <c r="K13" s="65">
        <f>SUM(K8:K11)</f>
        <v>6644586</v>
      </c>
      <c r="L13" s="65">
        <f t="shared" ref="L13:AP13" si="1">SUM(L8:L11)</f>
        <v>6749449</v>
      </c>
      <c r="M13" s="65">
        <f t="shared" si="1"/>
        <v>6853278</v>
      </c>
      <c r="N13" s="65">
        <f t="shared" si="1"/>
        <v>6955033</v>
      </c>
      <c r="O13" s="65">
        <f t="shared" si="1"/>
        <v>7057062</v>
      </c>
      <c r="P13" s="65">
        <f t="shared" si="1"/>
        <v>7160089</v>
      </c>
      <c r="Q13" s="65">
        <f t="shared" si="1"/>
        <v>7265750</v>
      </c>
      <c r="R13" s="65">
        <f t="shared" si="1"/>
        <v>7375266</v>
      </c>
      <c r="S13" s="65">
        <f t="shared" si="1"/>
        <v>7489256</v>
      </c>
      <c r="T13" s="65">
        <f t="shared" si="1"/>
        <v>7606008</v>
      </c>
      <c r="U13" s="65">
        <f t="shared" si="1"/>
        <v>7725433</v>
      </c>
      <c r="V13" s="65">
        <f t="shared" si="1"/>
        <v>7846701</v>
      </c>
      <c r="W13" s="65">
        <f t="shared" si="1"/>
        <v>7970011</v>
      </c>
      <c r="X13" s="65">
        <f t="shared" si="1"/>
        <v>8093555</v>
      </c>
      <c r="Y13" s="65">
        <f t="shared" si="1"/>
        <v>8222283</v>
      </c>
      <c r="Z13" s="65">
        <f t="shared" si="1"/>
        <v>8352766</v>
      </c>
      <c r="AA13" s="65">
        <f t="shared" si="1"/>
        <v>8483658</v>
      </c>
      <c r="AB13" s="65">
        <f t="shared" si="1"/>
        <v>8616944</v>
      </c>
      <c r="AC13" s="65">
        <f t="shared" si="1"/>
        <v>8748905</v>
      </c>
      <c r="AD13" s="65">
        <f t="shared" si="1"/>
        <v>8874634</v>
      </c>
      <c r="AE13" s="65">
        <f t="shared" si="1"/>
        <v>8992126</v>
      </c>
      <c r="AF13" s="65">
        <f t="shared" si="1"/>
        <v>9103000</v>
      </c>
      <c r="AG13" s="65">
        <f t="shared" si="1"/>
        <v>9211203</v>
      </c>
      <c r="AH13" s="65">
        <f t="shared" si="1"/>
        <v>9317789</v>
      </c>
      <c r="AI13" s="65">
        <f t="shared" si="1"/>
        <v>9423344</v>
      </c>
      <c r="AJ13" s="65">
        <f t="shared" si="1"/>
        <v>9527389</v>
      </c>
      <c r="AK13" s="65">
        <f t="shared" si="1"/>
        <v>9616172</v>
      </c>
      <c r="AL13" s="65">
        <f t="shared" si="1"/>
        <v>9697070</v>
      </c>
      <c r="AM13" s="65">
        <f t="shared" si="1"/>
        <v>9773611</v>
      </c>
      <c r="AN13" s="65">
        <f t="shared" si="1"/>
        <v>9853773</v>
      </c>
      <c r="AO13" s="65">
        <f t="shared" si="1"/>
        <v>9932180</v>
      </c>
      <c r="AP13" s="65">
        <f t="shared" si="1"/>
        <v>10009939</v>
      </c>
    </row>
    <row r="14" spans="1:42" s="49" customFormat="1" x14ac:dyDescent="0.25">
      <c r="A14" s="49" t="s">
        <v>220</v>
      </c>
      <c r="B14" s="49" t="s">
        <v>221</v>
      </c>
      <c r="C14" s="50" t="s">
        <v>12</v>
      </c>
      <c r="D14" s="51" t="s">
        <v>132</v>
      </c>
      <c r="E14" s="51">
        <v>0.3</v>
      </c>
      <c r="F14" s="51">
        <v>0.9</v>
      </c>
      <c r="G14" s="51"/>
      <c r="H14" s="51"/>
      <c r="I14" s="50" t="s">
        <v>222</v>
      </c>
      <c r="J14" s="51" t="s">
        <v>94</v>
      </c>
      <c r="K14" s="67">
        <v>0.68</v>
      </c>
      <c r="L14" s="65" t="s">
        <v>301</v>
      </c>
      <c r="M14" s="66"/>
      <c r="N14" s="65"/>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5"/>
      <c r="AN14" s="65"/>
      <c r="AO14" s="65"/>
      <c r="AP14" s="65"/>
    </row>
    <row r="15" spans="1:42" s="49" customFormat="1" x14ac:dyDescent="0.25">
      <c r="A15" s="49" t="s">
        <v>223</v>
      </c>
      <c r="B15" s="49" t="s">
        <v>224</v>
      </c>
      <c r="C15" s="50" t="s">
        <v>12</v>
      </c>
      <c r="D15" s="51" t="s">
        <v>132</v>
      </c>
      <c r="E15" s="51">
        <v>0.05</v>
      </c>
      <c r="F15" s="51">
        <v>0.25</v>
      </c>
      <c r="G15" s="51"/>
      <c r="H15" s="51"/>
      <c r="I15" s="50" t="s">
        <v>225</v>
      </c>
      <c r="J15" s="51" t="s">
        <v>94</v>
      </c>
      <c r="K15" s="52">
        <v>0.12</v>
      </c>
      <c r="L15" s="52" t="s">
        <v>302</v>
      </c>
      <c r="N15" s="53"/>
      <c r="O15" s="53"/>
      <c r="P15" s="53"/>
      <c r="Q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row>
    <row r="16" spans="1:42" s="49" customFormat="1" x14ac:dyDescent="0.25">
      <c r="A16" s="49" t="s">
        <v>226</v>
      </c>
      <c r="B16" s="49" t="s">
        <v>227</v>
      </c>
      <c r="C16" s="50" t="s">
        <v>12</v>
      </c>
      <c r="D16" s="51" t="s">
        <v>132</v>
      </c>
      <c r="E16" s="51">
        <v>0.4</v>
      </c>
      <c r="F16" s="51">
        <v>0.8</v>
      </c>
      <c r="G16" s="51"/>
      <c r="H16" s="51"/>
      <c r="I16" s="50" t="s">
        <v>228</v>
      </c>
      <c r="J16" s="51" t="s">
        <v>94</v>
      </c>
      <c r="K16" s="68">
        <f>K17/K10</f>
        <v>0.56132980567417434</v>
      </c>
      <c r="L16" s="54" t="s">
        <v>229</v>
      </c>
      <c r="N16" s="53"/>
      <c r="O16" s="53"/>
      <c r="P16" s="53"/>
      <c r="Q16" s="53"/>
      <c r="R16" s="53"/>
      <c r="S16" s="53"/>
      <c r="T16" s="53"/>
      <c r="U16" s="53"/>
      <c r="V16" s="53"/>
      <c r="W16" s="53"/>
      <c r="X16" s="53"/>
      <c r="Y16" s="53"/>
      <c r="Z16" s="53"/>
      <c r="AA16" s="53"/>
      <c r="AB16" s="53"/>
      <c r="AC16" s="53"/>
      <c r="AD16" s="53"/>
      <c r="AE16" s="53"/>
      <c r="AF16" s="53"/>
      <c r="AG16" s="53"/>
      <c r="AH16" s="53"/>
      <c r="AI16" s="53"/>
      <c r="AJ16" s="53"/>
      <c r="AK16" s="53"/>
      <c r="AL16" s="53"/>
      <c r="AM16" s="53"/>
      <c r="AN16" s="53"/>
      <c r="AO16" s="53"/>
      <c r="AP16" s="53"/>
    </row>
    <row r="17" spans="1:42" s="49" customFormat="1" x14ac:dyDescent="0.25">
      <c r="A17" s="49" t="s">
        <v>230</v>
      </c>
      <c r="B17" s="49" t="s">
        <v>231</v>
      </c>
      <c r="C17" s="50" t="s">
        <v>12</v>
      </c>
      <c r="D17" s="51" t="s">
        <v>134</v>
      </c>
      <c r="E17" s="51"/>
      <c r="F17" s="51"/>
      <c r="G17" s="51"/>
      <c r="H17" s="51"/>
      <c r="I17" s="50" t="s">
        <v>232</v>
      </c>
      <c r="J17" s="51" t="s">
        <v>94</v>
      </c>
      <c r="K17" s="53">
        <f>ROUND(K12*K14+K11*K15,0)</f>
        <v>2506497</v>
      </c>
      <c r="L17" s="53" t="s">
        <v>233</v>
      </c>
      <c r="N17" s="53"/>
      <c r="O17" s="53"/>
      <c r="P17" s="53"/>
      <c r="Q17" s="53"/>
      <c r="R17" s="53"/>
      <c r="S17" s="53"/>
      <c r="T17" s="53"/>
      <c r="U17" s="53"/>
      <c r="V17" s="53"/>
      <c r="W17" s="53"/>
      <c r="X17" s="53"/>
      <c r="Y17" s="53"/>
      <c r="Z17" s="53"/>
      <c r="AA17" s="53"/>
      <c r="AB17" s="53"/>
      <c r="AC17" s="53"/>
      <c r="AD17" s="53"/>
      <c r="AE17" s="53"/>
      <c r="AF17" s="53"/>
      <c r="AG17" s="53"/>
      <c r="AH17" s="53"/>
      <c r="AI17" s="53"/>
      <c r="AJ17" s="53"/>
      <c r="AK17" s="53"/>
      <c r="AL17" s="53"/>
      <c r="AM17" s="53"/>
      <c r="AN17" s="53"/>
      <c r="AO17" s="53"/>
      <c r="AP17" s="53"/>
    </row>
    <row r="18" spans="1:42" s="49" customFormat="1" x14ac:dyDescent="0.25">
      <c r="A18" s="49" t="s">
        <v>303</v>
      </c>
      <c r="B18" s="49" t="s">
        <v>304</v>
      </c>
      <c r="C18" s="50" t="s">
        <v>12</v>
      </c>
      <c r="D18" s="51" t="s">
        <v>132</v>
      </c>
      <c r="E18" s="51">
        <v>0.01</v>
      </c>
      <c r="F18" s="51">
        <v>0.25</v>
      </c>
      <c r="G18" s="51"/>
      <c r="H18" s="51"/>
      <c r="I18" s="50" t="s">
        <v>222</v>
      </c>
      <c r="J18" s="51" t="s">
        <v>94</v>
      </c>
      <c r="K18" s="52">
        <v>8.5999999999999993E-2</v>
      </c>
      <c r="L18" s="55" t="s">
        <v>305</v>
      </c>
      <c r="N18" s="53"/>
      <c r="O18" s="53"/>
      <c r="P18" s="53"/>
      <c r="Q18" s="53"/>
      <c r="R18" s="53"/>
      <c r="S18" s="53"/>
      <c r="T18" s="53"/>
      <c r="U18" s="53"/>
      <c r="V18" s="53"/>
      <c r="W18" s="53"/>
      <c r="X18" s="53"/>
      <c r="Y18" s="53"/>
      <c r="Z18" s="53"/>
      <c r="AA18" s="53"/>
      <c r="AB18" s="53"/>
      <c r="AC18" s="53"/>
      <c r="AD18" s="53"/>
      <c r="AE18" s="53"/>
      <c r="AF18" s="53"/>
      <c r="AG18" s="53"/>
      <c r="AH18" s="53"/>
      <c r="AI18" s="53"/>
      <c r="AJ18" s="53"/>
      <c r="AK18" s="53"/>
      <c r="AL18" s="53"/>
      <c r="AM18" s="53"/>
      <c r="AN18" s="53"/>
      <c r="AO18" s="53"/>
      <c r="AP18" s="53"/>
    </row>
    <row r="19" spans="1:42" s="49" customFormat="1" x14ac:dyDescent="0.25">
      <c r="A19" s="49" t="s">
        <v>306</v>
      </c>
      <c r="B19" s="49" t="s">
        <v>307</v>
      </c>
      <c r="C19" s="50" t="s">
        <v>12</v>
      </c>
      <c r="D19" s="51" t="s">
        <v>134</v>
      </c>
      <c r="E19" s="51"/>
      <c r="F19" s="51"/>
      <c r="G19" s="51"/>
      <c r="H19" s="51"/>
      <c r="I19" s="50" t="s">
        <v>308</v>
      </c>
      <c r="J19" s="51" t="s">
        <v>94</v>
      </c>
      <c r="K19" s="53">
        <f>ROUND(K17*(1-K18),0)</f>
        <v>2290938</v>
      </c>
      <c r="L19" s="53" t="s">
        <v>309</v>
      </c>
      <c r="N19" s="53"/>
      <c r="O19" s="53"/>
      <c r="P19" s="53"/>
      <c r="Q19" s="53"/>
      <c r="R19" s="53"/>
      <c r="S19" s="53"/>
      <c r="T19" s="53"/>
      <c r="U19" s="53"/>
      <c r="V19" s="53"/>
      <c r="W19" s="53"/>
      <c r="X19" s="53"/>
      <c r="Y19" s="53"/>
      <c r="Z19" s="53"/>
      <c r="AA19" s="53"/>
      <c r="AB19" s="53"/>
      <c r="AC19" s="53"/>
      <c r="AD19" s="53"/>
      <c r="AE19" s="53"/>
      <c r="AF19" s="53"/>
      <c r="AG19" s="53"/>
      <c r="AH19" s="53"/>
      <c r="AI19" s="53"/>
      <c r="AJ19" s="53"/>
      <c r="AK19" s="53"/>
      <c r="AL19" s="53"/>
      <c r="AM19" s="53"/>
      <c r="AN19" s="53"/>
      <c r="AO19" s="53"/>
      <c r="AP19" s="53"/>
    </row>
    <row r="20" spans="1:42" s="49" customFormat="1" x14ac:dyDescent="0.25">
      <c r="A20" s="49" t="s">
        <v>234</v>
      </c>
      <c r="B20" s="49" t="s">
        <v>235</v>
      </c>
      <c r="C20" s="50" t="s">
        <v>12</v>
      </c>
      <c r="D20" s="51" t="s">
        <v>132</v>
      </c>
      <c r="E20" s="51">
        <v>-0.01</v>
      </c>
      <c r="F20" s="51">
        <v>0.05</v>
      </c>
      <c r="G20" s="51"/>
      <c r="H20" s="51"/>
      <c r="I20" s="50" t="s">
        <v>222</v>
      </c>
      <c r="J20" s="51" t="s">
        <v>94</v>
      </c>
      <c r="K20" s="57">
        <v>9.1000000000000004E-3</v>
      </c>
      <c r="L20" s="53" t="s">
        <v>236</v>
      </c>
      <c r="N20" s="53"/>
      <c r="O20" s="53"/>
      <c r="P20" s="53"/>
      <c r="Q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row>
    <row r="21" spans="1:42" s="49" customFormat="1" x14ac:dyDescent="0.25">
      <c r="A21" s="37" t="s">
        <v>77</v>
      </c>
      <c r="B21" s="37" t="s">
        <v>78</v>
      </c>
      <c r="C21" s="50" t="s">
        <v>12</v>
      </c>
      <c r="D21" s="51" t="s">
        <v>132</v>
      </c>
      <c r="E21" s="51"/>
      <c r="F21" s="51"/>
      <c r="G21" s="51"/>
      <c r="H21" s="51"/>
      <c r="I21" s="50" t="s">
        <v>237</v>
      </c>
      <c r="J21" s="51" t="s">
        <v>94</v>
      </c>
      <c r="K21" s="55">
        <v>1.7999999999999999E-2</v>
      </c>
      <c r="L21" s="56" t="s">
        <v>310</v>
      </c>
      <c r="N21" s="53"/>
      <c r="O21" s="53"/>
      <c r="P21" s="53"/>
      <c r="Q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row>
    <row r="22" spans="1:42" s="49" customFormat="1" x14ac:dyDescent="0.25">
      <c r="A22" s="37" t="s">
        <v>80</v>
      </c>
      <c r="B22" s="37" t="s">
        <v>79</v>
      </c>
      <c r="C22" s="50" t="s">
        <v>12</v>
      </c>
      <c r="D22" s="51" t="s">
        <v>133</v>
      </c>
      <c r="E22" s="51"/>
      <c r="F22" s="51"/>
      <c r="G22" s="51"/>
      <c r="H22" s="51"/>
      <c r="I22" s="50" t="s">
        <v>74</v>
      </c>
      <c r="J22" s="51" t="s">
        <v>94</v>
      </c>
      <c r="K22" s="65">
        <v>400000000000</v>
      </c>
      <c r="L22" s="46" t="s">
        <v>88</v>
      </c>
      <c r="N22" s="53"/>
      <c r="O22" s="53"/>
      <c r="P22" s="53"/>
      <c r="Q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row>
    <row r="23" spans="1:42" s="5" customFormat="1" x14ac:dyDescent="0.25">
      <c r="A23" s="5" t="s">
        <v>19</v>
      </c>
      <c r="B23" s="5" t="s">
        <v>70</v>
      </c>
      <c r="C23" s="33" t="s">
        <v>12</v>
      </c>
      <c r="D23" s="34" t="s">
        <v>132</v>
      </c>
      <c r="E23" s="34"/>
      <c r="F23" s="34"/>
      <c r="G23" s="34"/>
      <c r="H23" s="34"/>
      <c r="I23" s="33" t="s">
        <v>238</v>
      </c>
      <c r="J23" s="34" t="s">
        <v>94</v>
      </c>
      <c r="K23" s="52">
        <v>3.3000000000000002E-2</v>
      </c>
      <c r="L23" s="35" t="s">
        <v>239</v>
      </c>
      <c r="N23" s="53"/>
      <c r="O23" s="53"/>
      <c r="P23" s="53"/>
      <c r="Q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row>
    <row r="24" spans="1:42" x14ac:dyDescent="0.25">
      <c r="A24" s="37" t="s">
        <v>95</v>
      </c>
      <c r="B24" s="37" t="s">
        <v>96</v>
      </c>
      <c r="C24" s="50" t="s">
        <v>12</v>
      </c>
      <c r="D24" s="51" t="s">
        <v>131</v>
      </c>
      <c r="E24" s="51"/>
      <c r="F24" s="51"/>
      <c r="G24" s="51"/>
      <c r="H24" s="51"/>
      <c r="I24" s="50" t="s">
        <v>75</v>
      </c>
      <c r="J24" s="51" t="s">
        <v>94</v>
      </c>
      <c r="K24" s="53">
        <v>100</v>
      </c>
      <c r="L24" s="46" t="s">
        <v>97</v>
      </c>
      <c r="N24" s="53"/>
      <c r="O24" s="53"/>
      <c r="P24" s="53"/>
      <c r="Q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row>
    <row r="25" spans="1:42" x14ac:dyDescent="0.25">
      <c r="A25" s="37" t="s">
        <v>15</v>
      </c>
      <c r="B25" s="37" t="s">
        <v>65</v>
      </c>
      <c r="C25" s="50" t="s">
        <v>12</v>
      </c>
      <c r="D25" s="51" t="s">
        <v>133</v>
      </c>
      <c r="E25" s="51"/>
      <c r="F25" s="51"/>
      <c r="G25" s="51"/>
      <c r="H25" s="51"/>
      <c r="I25" s="50" t="s">
        <v>81</v>
      </c>
      <c r="J25" s="51" t="s">
        <v>94</v>
      </c>
      <c r="K25" s="65">
        <f>K22</f>
        <v>400000000000</v>
      </c>
      <c r="L25" s="46" t="s">
        <v>90</v>
      </c>
      <c r="N25" s="53"/>
      <c r="O25" s="53"/>
      <c r="P25" s="53"/>
      <c r="Q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row>
    <row r="26" spans="1:42" x14ac:dyDescent="0.25">
      <c r="A26" s="37" t="s">
        <v>71</v>
      </c>
      <c r="B26" s="37" t="s">
        <v>72</v>
      </c>
      <c r="C26" s="50" t="s">
        <v>12</v>
      </c>
      <c r="D26" s="51" t="s">
        <v>132</v>
      </c>
      <c r="E26" s="51"/>
      <c r="F26" s="51"/>
      <c r="G26" s="51"/>
      <c r="H26" s="51"/>
      <c r="I26" s="50" t="s">
        <v>104</v>
      </c>
      <c r="J26" s="51" t="s">
        <v>94</v>
      </c>
      <c r="K26" s="53">
        <v>0</v>
      </c>
      <c r="L26" s="46" t="s">
        <v>311</v>
      </c>
      <c r="N26" s="53"/>
      <c r="O26" s="53"/>
      <c r="P26" s="53"/>
      <c r="Q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row>
    <row r="27" spans="1:42" x14ac:dyDescent="0.25">
      <c r="A27" s="37" t="s">
        <v>82</v>
      </c>
      <c r="B27" s="37" t="s">
        <v>73</v>
      </c>
      <c r="C27" s="50" t="s">
        <v>12</v>
      </c>
      <c r="D27" s="51" t="s">
        <v>131</v>
      </c>
      <c r="E27" s="51"/>
      <c r="F27" s="51"/>
      <c r="G27" s="51"/>
      <c r="H27" s="51"/>
      <c r="I27" s="50" t="s">
        <v>76</v>
      </c>
      <c r="J27" s="51" t="s">
        <v>94</v>
      </c>
      <c r="K27" s="53">
        <v>100</v>
      </c>
      <c r="L27" s="46" t="s">
        <v>89</v>
      </c>
      <c r="N27" s="53"/>
      <c r="O27" s="53"/>
      <c r="P27" s="53"/>
      <c r="Q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row>
    <row r="28" spans="1:42" x14ac:dyDescent="0.25">
      <c r="A28" s="37" t="s">
        <v>119</v>
      </c>
      <c r="B28" s="37" t="s">
        <v>120</v>
      </c>
      <c r="C28" s="50" t="s">
        <v>12</v>
      </c>
      <c r="D28" s="51" t="s">
        <v>132</v>
      </c>
      <c r="E28" s="51">
        <v>0.01</v>
      </c>
      <c r="F28" s="51"/>
      <c r="G28" s="51"/>
      <c r="H28" s="51"/>
      <c r="I28" s="50" t="s">
        <v>121</v>
      </c>
      <c r="J28" s="51" t="s">
        <v>94</v>
      </c>
      <c r="K28" s="52">
        <v>3.5000000000000003E-2</v>
      </c>
      <c r="L28" s="56" t="s">
        <v>331</v>
      </c>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row>
    <row r="29" spans="1:42" x14ac:dyDescent="0.25">
      <c r="A29" s="37" t="s">
        <v>127</v>
      </c>
      <c r="B29" s="37" t="s">
        <v>128</v>
      </c>
      <c r="C29" s="50" t="s">
        <v>12</v>
      </c>
      <c r="D29" s="51" t="s">
        <v>132</v>
      </c>
      <c r="E29" s="51"/>
      <c r="F29" s="51"/>
      <c r="G29" s="51"/>
      <c r="H29" s="51"/>
      <c r="I29" s="50" t="s">
        <v>122</v>
      </c>
      <c r="J29" s="51" t="s">
        <v>94</v>
      </c>
      <c r="K29" s="57">
        <v>0.2</v>
      </c>
      <c r="L29" s="57">
        <v>0.2</v>
      </c>
      <c r="N29" s="57"/>
      <c r="O29" s="57"/>
      <c r="P29" s="57"/>
      <c r="Q29" s="57"/>
      <c r="R29" s="57"/>
      <c r="S29" s="57"/>
      <c r="T29" s="57"/>
      <c r="U29" s="57"/>
      <c r="V29" s="57"/>
      <c r="W29" s="57"/>
      <c r="X29" s="57"/>
      <c r="Y29" s="57"/>
      <c r="Z29" s="57"/>
      <c r="AA29" s="57"/>
      <c r="AB29" s="57"/>
      <c r="AC29" s="57"/>
      <c r="AD29" s="57"/>
      <c r="AE29" s="57"/>
      <c r="AF29" s="57"/>
      <c r="AG29" s="57"/>
      <c r="AH29" s="57"/>
      <c r="AI29" s="57"/>
      <c r="AJ29" s="57"/>
      <c r="AK29" s="57"/>
      <c r="AL29" s="57"/>
      <c r="AM29" s="57"/>
      <c r="AN29" s="57"/>
      <c r="AO29" s="57"/>
      <c r="AP29" s="57"/>
    </row>
    <row r="30" spans="1:42" x14ac:dyDescent="0.25">
      <c r="A30" s="37" t="s">
        <v>123</v>
      </c>
      <c r="B30" s="37" t="s">
        <v>125</v>
      </c>
      <c r="C30" s="37" t="s">
        <v>12</v>
      </c>
      <c r="D30" s="51" t="s">
        <v>132</v>
      </c>
      <c r="E30" s="46">
        <v>0.01</v>
      </c>
      <c r="F30" s="46">
        <v>0.2</v>
      </c>
      <c r="G30" s="46"/>
      <c r="H30" s="46"/>
      <c r="I30" s="58" t="s">
        <v>126</v>
      </c>
      <c r="J30" s="51" t="s">
        <v>94</v>
      </c>
      <c r="K30" s="57">
        <v>0.05</v>
      </c>
      <c r="L30" s="56" t="s">
        <v>129</v>
      </c>
      <c r="N30" s="53"/>
      <c r="O30" s="53"/>
      <c r="P30" s="53"/>
      <c r="Q30" s="53"/>
      <c r="R30" s="53"/>
      <c r="S30" s="53"/>
      <c r="T30" s="53"/>
      <c r="U30" s="53"/>
      <c r="V30" s="53"/>
      <c r="W30" s="53"/>
      <c r="X30" s="53"/>
      <c r="Y30" s="53"/>
      <c r="Z30" s="53"/>
      <c r="AA30" s="53"/>
      <c r="AB30" s="53"/>
      <c r="AC30" s="53"/>
      <c r="AD30" s="53"/>
      <c r="AE30" s="53"/>
      <c r="AF30" s="53"/>
      <c r="AG30" s="53"/>
      <c r="AH30" s="53"/>
      <c r="AI30" s="53"/>
      <c r="AJ30" s="53"/>
      <c r="AK30" s="53"/>
      <c r="AL30" s="53"/>
      <c r="AM30" s="53"/>
      <c r="AN30" s="53"/>
      <c r="AO30" s="53"/>
      <c r="AP30" s="53"/>
    </row>
    <row r="31" spans="1:42" x14ac:dyDescent="0.25">
      <c r="A31" s="37" t="s">
        <v>105</v>
      </c>
      <c r="B31" s="37" t="s">
        <v>106</v>
      </c>
      <c r="C31" s="50" t="s">
        <v>11</v>
      </c>
      <c r="D31" s="51" t="s">
        <v>133</v>
      </c>
      <c r="E31" s="46"/>
      <c r="F31" s="46"/>
      <c r="G31" s="46"/>
      <c r="H31" s="46"/>
      <c r="I31" s="58" t="s">
        <v>107</v>
      </c>
      <c r="J31" s="51" t="s">
        <v>94</v>
      </c>
      <c r="K31" s="65">
        <v>16000000000</v>
      </c>
      <c r="L31" s="46" t="s">
        <v>333</v>
      </c>
      <c r="N31" s="53"/>
      <c r="O31" s="53"/>
      <c r="P31" s="53"/>
      <c r="Q31" s="53"/>
      <c r="R31" s="53"/>
      <c r="S31" s="53"/>
      <c r="T31" s="53"/>
      <c r="U31" s="53"/>
      <c r="V31" s="53"/>
      <c r="W31" s="53"/>
      <c r="X31" s="53"/>
      <c r="Y31" s="53"/>
      <c r="Z31" s="53"/>
      <c r="AA31" s="53"/>
      <c r="AB31" s="53"/>
      <c r="AC31" s="53"/>
      <c r="AD31" s="53"/>
      <c r="AE31" s="53"/>
      <c r="AF31" s="53"/>
      <c r="AG31" s="53"/>
      <c r="AH31" s="53"/>
      <c r="AI31" s="53"/>
      <c r="AJ31" s="53"/>
      <c r="AK31" s="53"/>
      <c r="AL31" s="53"/>
      <c r="AM31" s="53"/>
      <c r="AN31" s="53"/>
      <c r="AO31" s="53"/>
      <c r="AP31" s="53"/>
    </row>
    <row r="32" spans="1:42" x14ac:dyDescent="0.25">
      <c r="A32" s="37" t="s">
        <v>98</v>
      </c>
      <c r="B32" s="37" t="s">
        <v>99</v>
      </c>
      <c r="C32" s="37" t="s">
        <v>11</v>
      </c>
      <c r="D32" s="51" t="s">
        <v>133</v>
      </c>
      <c r="E32" s="46"/>
      <c r="F32" s="46"/>
      <c r="G32" s="46"/>
      <c r="H32" s="46"/>
      <c r="I32" s="58" t="s">
        <v>107</v>
      </c>
      <c r="J32" s="51" t="s">
        <v>94</v>
      </c>
      <c r="K32" s="65">
        <v>20000000000</v>
      </c>
      <c r="L32" s="46" t="s">
        <v>334</v>
      </c>
      <c r="N32" s="53"/>
      <c r="O32" s="53"/>
      <c r="P32" s="53"/>
      <c r="Q32" s="53"/>
      <c r="R32" s="53"/>
      <c r="S32" s="53"/>
      <c r="T32" s="53"/>
      <c r="U32" s="53"/>
      <c r="V32" s="53"/>
      <c r="W32" s="53"/>
      <c r="X32" s="53"/>
      <c r="Y32" s="53"/>
      <c r="Z32" s="53"/>
      <c r="AA32" s="53"/>
      <c r="AB32" s="53"/>
      <c r="AC32" s="53"/>
      <c r="AD32" s="53"/>
      <c r="AE32" s="53"/>
      <c r="AF32" s="53"/>
      <c r="AG32" s="53"/>
      <c r="AH32" s="53"/>
      <c r="AI32" s="53"/>
      <c r="AJ32" s="53"/>
      <c r="AK32" s="53"/>
      <c r="AL32" s="53"/>
      <c r="AM32" s="53"/>
      <c r="AN32" s="53"/>
      <c r="AO32" s="53"/>
      <c r="AP32" s="53"/>
    </row>
    <row r="33" spans="1:42" x14ac:dyDescent="0.25">
      <c r="A33" s="37" t="s">
        <v>20</v>
      </c>
      <c r="B33" s="37" t="s">
        <v>21</v>
      </c>
      <c r="C33" s="37" t="s">
        <v>11</v>
      </c>
      <c r="D33" s="51" t="s">
        <v>133</v>
      </c>
      <c r="E33" s="46"/>
      <c r="F33" s="46"/>
      <c r="G33" s="46"/>
      <c r="H33" s="46"/>
      <c r="I33" s="58" t="s">
        <v>107</v>
      </c>
      <c r="J33" s="51" t="s">
        <v>94</v>
      </c>
      <c r="K33" s="65">
        <v>6000000000</v>
      </c>
      <c r="L33" s="46" t="s">
        <v>335</v>
      </c>
      <c r="N33" s="53"/>
      <c r="O33" s="53"/>
      <c r="P33" s="53"/>
      <c r="Q33" s="53"/>
      <c r="R33" s="53"/>
      <c r="S33" s="53"/>
      <c r="T33" s="53"/>
      <c r="U33" s="53"/>
      <c r="V33" s="53"/>
      <c r="W33" s="53"/>
      <c r="X33" s="53"/>
      <c r="Y33" s="53"/>
      <c r="Z33" s="53"/>
      <c r="AA33" s="53"/>
      <c r="AB33" s="53"/>
      <c r="AC33" s="53"/>
      <c r="AD33" s="53"/>
      <c r="AE33" s="53"/>
      <c r="AF33" s="53"/>
      <c r="AG33" s="53"/>
      <c r="AH33" s="53"/>
      <c r="AI33" s="53"/>
      <c r="AJ33" s="53"/>
      <c r="AK33" s="53"/>
      <c r="AL33" s="53"/>
      <c r="AM33" s="53"/>
      <c r="AN33" s="53"/>
      <c r="AO33" s="53"/>
      <c r="AP33" s="53"/>
    </row>
    <row r="34" spans="1:42" x14ac:dyDescent="0.25">
      <c r="A34" s="37" t="s">
        <v>108</v>
      </c>
      <c r="B34" s="37" t="s">
        <v>109</v>
      </c>
      <c r="C34" s="37" t="s">
        <v>11</v>
      </c>
      <c r="D34" s="51" t="s">
        <v>133</v>
      </c>
      <c r="E34" s="46"/>
      <c r="F34" s="46"/>
      <c r="G34" s="46"/>
      <c r="H34" s="46"/>
      <c r="I34" s="58" t="s">
        <v>107</v>
      </c>
      <c r="J34" s="51" t="s">
        <v>94</v>
      </c>
      <c r="K34" s="65">
        <v>18000000000</v>
      </c>
      <c r="L34" s="46" t="s">
        <v>336</v>
      </c>
      <c r="N34" s="53"/>
      <c r="O34" s="53"/>
      <c r="P34" s="53"/>
      <c r="Q34" s="53"/>
      <c r="R34" s="53"/>
      <c r="S34" s="53"/>
      <c r="T34" s="53"/>
      <c r="U34" s="53"/>
      <c r="V34" s="53"/>
      <c r="W34" s="53"/>
      <c r="X34" s="53"/>
      <c r="Y34" s="53"/>
      <c r="Z34" s="53"/>
      <c r="AA34" s="53"/>
      <c r="AB34" s="53"/>
      <c r="AC34" s="53"/>
      <c r="AD34" s="53"/>
      <c r="AE34" s="53"/>
      <c r="AF34" s="53"/>
      <c r="AG34" s="53"/>
      <c r="AH34" s="53"/>
      <c r="AI34" s="53"/>
      <c r="AJ34" s="53"/>
      <c r="AK34" s="53"/>
      <c r="AL34" s="53"/>
      <c r="AM34" s="53"/>
      <c r="AN34" s="53"/>
      <c r="AO34" s="53"/>
      <c r="AP34" s="53"/>
    </row>
    <row r="35" spans="1:42" x14ac:dyDescent="0.25">
      <c r="A35" s="37" t="s">
        <v>22</v>
      </c>
      <c r="B35" s="37" t="s">
        <v>23</v>
      </c>
      <c r="C35" s="37" t="s">
        <v>11</v>
      </c>
      <c r="D35" s="51" t="s">
        <v>133</v>
      </c>
      <c r="E35" s="46"/>
      <c r="F35" s="46"/>
      <c r="G35" s="46"/>
      <c r="H35" s="46"/>
      <c r="I35" s="58" t="s">
        <v>107</v>
      </c>
      <c r="J35" s="51" t="s">
        <v>94</v>
      </c>
      <c r="K35" s="65">
        <v>20000000000</v>
      </c>
      <c r="L35" s="46" t="s">
        <v>337</v>
      </c>
      <c r="N35" s="53"/>
      <c r="O35" s="53"/>
      <c r="P35" s="53"/>
      <c r="Q35" s="53"/>
      <c r="R35" s="53"/>
      <c r="S35" s="53"/>
      <c r="T35" s="53"/>
      <c r="U35" s="53"/>
      <c r="V35" s="53"/>
      <c r="W35" s="53"/>
      <c r="X35" s="53"/>
      <c r="Y35" s="53"/>
      <c r="Z35" s="53"/>
      <c r="AA35" s="53"/>
      <c r="AB35" s="53"/>
      <c r="AC35" s="53"/>
      <c r="AD35" s="53"/>
      <c r="AE35" s="53"/>
      <c r="AF35" s="53"/>
      <c r="AG35" s="53"/>
      <c r="AH35" s="53"/>
      <c r="AI35" s="53"/>
      <c r="AJ35" s="53"/>
      <c r="AK35" s="53"/>
      <c r="AL35" s="53"/>
      <c r="AM35" s="53"/>
      <c r="AN35" s="53"/>
      <c r="AO35" s="53"/>
      <c r="AP35" s="53"/>
    </row>
    <row r="36" spans="1:42" x14ac:dyDescent="0.25">
      <c r="A36" s="37" t="s">
        <v>62</v>
      </c>
      <c r="B36" s="37" t="s">
        <v>63</v>
      </c>
      <c r="C36" s="37" t="s">
        <v>11</v>
      </c>
      <c r="D36" s="51" t="s">
        <v>133</v>
      </c>
      <c r="E36" s="46"/>
      <c r="F36" s="46"/>
      <c r="G36" s="46"/>
      <c r="H36" s="46"/>
      <c r="I36" s="58" t="s">
        <v>67</v>
      </c>
      <c r="J36" s="51" t="s">
        <v>94</v>
      </c>
      <c r="K36" s="65">
        <f>SUM(K31:K35)</f>
        <v>80000000000</v>
      </c>
      <c r="L36" s="63" t="s">
        <v>328</v>
      </c>
      <c r="N36" s="53"/>
      <c r="O36" s="53"/>
      <c r="P36" s="53"/>
      <c r="Q36" s="53"/>
      <c r="R36" s="53"/>
      <c r="S36" s="53"/>
      <c r="T36" s="53"/>
      <c r="U36" s="53"/>
      <c r="V36" s="53"/>
      <c r="W36" s="53"/>
      <c r="X36" s="53"/>
      <c r="Y36" s="53"/>
      <c r="Z36" s="53"/>
      <c r="AA36" s="53"/>
      <c r="AB36" s="53"/>
      <c r="AC36" s="53"/>
      <c r="AD36" s="53"/>
      <c r="AE36" s="53"/>
      <c r="AF36" s="53"/>
      <c r="AG36" s="53"/>
      <c r="AH36" s="53"/>
      <c r="AI36" s="53"/>
      <c r="AJ36" s="53"/>
      <c r="AK36" s="53"/>
      <c r="AL36" s="53"/>
      <c r="AM36" s="53"/>
      <c r="AN36" s="53"/>
      <c r="AO36" s="53"/>
      <c r="AP36" s="53"/>
    </row>
    <row r="37" spans="1:42" x14ac:dyDescent="0.25">
      <c r="A37" s="37" t="s">
        <v>110</v>
      </c>
      <c r="B37" s="37" t="s">
        <v>111</v>
      </c>
      <c r="C37" s="37" t="s">
        <v>10</v>
      </c>
      <c r="D37" s="51" t="s">
        <v>133</v>
      </c>
      <c r="E37" s="46"/>
      <c r="F37" s="46"/>
      <c r="G37" s="46"/>
      <c r="H37" s="46"/>
      <c r="I37" s="58" t="s">
        <v>112</v>
      </c>
      <c r="J37" s="51" t="s">
        <v>94</v>
      </c>
      <c r="K37" s="65">
        <v>40000000000</v>
      </c>
      <c r="L37" s="59" t="s">
        <v>240</v>
      </c>
      <c r="N37" s="53"/>
      <c r="O37" s="53"/>
      <c r="P37" s="53"/>
      <c r="Q37" s="53"/>
      <c r="R37" s="53"/>
      <c r="S37" s="53"/>
      <c r="T37" s="53"/>
      <c r="U37" s="53"/>
      <c r="V37" s="53"/>
      <c r="W37" s="53"/>
      <c r="X37" s="53"/>
      <c r="Y37" s="53"/>
      <c r="Z37" s="53"/>
      <c r="AA37" s="53"/>
      <c r="AB37" s="53"/>
      <c r="AC37" s="53"/>
      <c r="AD37" s="53"/>
      <c r="AE37" s="53"/>
      <c r="AF37" s="53"/>
      <c r="AG37" s="53"/>
      <c r="AH37" s="53"/>
      <c r="AI37" s="53"/>
      <c r="AJ37" s="53"/>
      <c r="AK37" s="53"/>
      <c r="AL37" s="53"/>
      <c r="AM37" s="53"/>
      <c r="AN37" s="53"/>
      <c r="AO37" s="53"/>
      <c r="AP37" s="53"/>
    </row>
    <row r="38" spans="1:42" x14ac:dyDescent="0.25">
      <c r="A38" s="37" t="s">
        <v>113</v>
      </c>
      <c r="B38" s="37" t="s">
        <v>114</v>
      </c>
      <c r="C38" s="37" t="s">
        <v>10</v>
      </c>
      <c r="D38" s="51" t="s">
        <v>133</v>
      </c>
      <c r="E38" s="46"/>
      <c r="F38" s="46"/>
      <c r="G38" s="46"/>
      <c r="H38" s="46"/>
      <c r="I38" s="58" t="s">
        <v>115</v>
      </c>
      <c r="J38" s="51" t="s">
        <v>94</v>
      </c>
      <c r="K38" s="65">
        <v>25000000000</v>
      </c>
      <c r="L38" s="59" t="s">
        <v>241</v>
      </c>
      <c r="N38" s="53"/>
      <c r="O38" s="53"/>
      <c r="P38" s="53"/>
      <c r="Q38" s="53"/>
      <c r="R38" s="53"/>
      <c r="S38" s="53"/>
      <c r="T38" s="53"/>
      <c r="U38" s="53"/>
      <c r="V38" s="53"/>
      <c r="W38" s="53"/>
      <c r="X38" s="53"/>
      <c r="Y38" s="53"/>
      <c r="Z38" s="53"/>
      <c r="AA38" s="53"/>
      <c r="AB38" s="53"/>
      <c r="AC38" s="53"/>
      <c r="AD38" s="53"/>
      <c r="AE38" s="53"/>
      <c r="AF38" s="53"/>
      <c r="AG38" s="53"/>
      <c r="AH38" s="53"/>
      <c r="AI38" s="53"/>
      <c r="AJ38" s="53"/>
      <c r="AK38" s="53"/>
      <c r="AL38" s="53"/>
      <c r="AM38" s="53"/>
      <c r="AN38" s="53"/>
      <c r="AO38" s="53"/>
      <c r="AP38" s="53"/>
    </row>
    <row r="39" spans="1:42" x14ac:dyDescent="0.25">
      <c r="A39" s="37" t="s">
        <v>116</v>
      </c>
      <c r="B39" s="37" t="s">
        <v>117</v>
      </c>
      <c r="C39" s="37" t="s">
        <v>10</v>
      </c>
      <c r="D39" s="51" t="s">
        <v>133</v>
      </c>
      <c r="E39" s="46"/>
      <c r="F39" s="46"/>
      <c r="G39" s="46"/>
      <c r="H39" s="46"/>
      <c r="I39" s="58" t="s">
        <v>107</v>
      </c>
      <c r="J39" s="51" t="s">
        <v>94</v>
      </c>
      <c r="K39" s="65">
        <v>15000000000</v>
      </c>
      <c r="L39" s="46" t="s">
        <v>338</v>
      </c>
      <c r="N39" s="53"/>
      <c r="O39" s="53"/>
      <c r="P39" s="53"/>
      <c r="Q39" s="53"/>
      <c r="R39" s="53"/>
      <c r="S39" s="53"/>
      <c r="T39" s="53"/>
      <c r="U39" s="53"/>
      <c r="V39" s="53"/>
      <c r="W39" s="53"/>
      <c r="X39" s="53"/>
      <c r="Y39" s="53"/>
      <c r="Z39" s="53"/>
      <c r="AA39" s="53"/>
      <c r="AB39" s="53"/>
      <c r="AC39" s="53"/>
      <c r="AD39" s="53"/>
      <c r="AE39" s="53"/>
      <c r="AF39" s="53"/>
      <c r="AG39" s="53"/>
      <c r="AH39" s="53"/>
      <c r="AI39" s="53"/>
      <c r="AJ39" s="53"/>
      <c r="AK39" s="53"/>
      <c r="AL39" s="53"/>
      <c r="AM39" s="53"/>
      <c r="AN39" s="53"/>
      <c r="AO39" s="53"/>
      <c r="AP39" s="53"/>
    </row>
    <row r="40" spans="1:42" x14ac:dyDescent="0.25">
      <c r="A40" s="37" t="s">
        <v>83</v>
      </c>
      <c r="B40" s="37" t="s">
        <v>242</v>
      </c>
      <c r="C40" s="37" t="s">
        <v>10</v>
      </c>
      <c r="D40" s="51" t="s">
        <v>133</v>
      </c>
      <c r="E40" s="46"/>
      <c r="F40" s="46"/>
      <c r="G40" s="46"/>
      <c r="H40" s="46"/>
      <c r="I40" s="58" t="s">
        <v>84</v>
      </c>
      <c r="J40" s="51" t="s">
        <v>94</v>
      </c>
      <c r="K40" s="65">
        <v>10000000000</v>
      </c>
      <c r="L40" s="46" t="s">
        <v>124</v>
      </c>
      <c r="N40" s="53"/>
      <c r="O40" s="53"/>
      <c r="P40" s="53"/>
      <c r="Q40" s="53"/>
      <c r="R40" s="53"/>
      <c r="S40" s="53"/>
      <c r="T40" s="53"/>
      <c r="U40" s="53"/>
      <c r="V40" s="53"/>
      <c r="W40" s="53"/>
      <c r="X40" s="53"/>
      <c r="Y40" s="53"/>
      <c r="Z40" s="53"/>
      <c r="AA40" s="53"/>
      <c r="AB40" s="53"/>
      <c r="AC40" s="53"/>
      <c r="AD40" s="53"/>
      <c r="AE40" s="53"/>
      <c r="AF40" s="53"/>
      <c r="AG40" s="53"/>
      <c r="AH40" s="53"/>
      <c r="AI40" s="53"/>
      <c r="AJ40" s="53"/>
      <c r="AK40" s="53"/>
      <c r="AL40" s="53"/>
      <c r="AM40" s="53"/>
      <c r="AN40" s="53"/>
      <c r="AO40" s="53"/>
      <c r="AP40" s="53"/>
    </row>
    <row r="41" spans="1:42" x14ac:dyDescent="0.25">
      <c r="A41" s="37" t="s">
        <v>87</v>
      </c>
      <c r="B41" s="37" t="s">
        <v>64</v>
      </c>
      <c r="C41" s="37" t="s">
        <v>10</v>
      </c>
      <c r="D41" s="51" t="s">
        <v>133</v>
      </c>
      <c r="E41" s="46"/>
      <c r="F41" s="46"/>
      <c r="G41" s="46"/>
      <c r="H41" s="46"/>
      <c r="I41" s="58" t="s">
        <v>66</v>
      </c>
      <c r="J41" s="51" t="s">
        <v>94</v>
      </c>
      <c r="K41" s="65">
        <f>SUM(K37:K40)</f>
        <v>90000000000</v>
      </c>
      <c r="L41" s="63" t="s">
        <v>332</v>
      </c>
      <c r="M41" s="37"/>
      <c r="N41" s="53"/>
      <c r="O41" s="53"/>
      <c r="P41" s="53"/>
      <c r="Q41" s="53"/>
      <c r="R41" s="53"/>
      <c r="S41" s="53"/>
      <c r="T41" s="53"/>
      <c r="U41" s="53"/>
      <c r="V41" s="53"/>
      <c r="W41" s="53"/>
      <c r="X41" s="53"/>
      <c r="Y41" s="53"/>
      <c r="Z41" s="53"/>
      <c r="AA41" s="53"/>
      <c r="AB41" s="53"/>
      <c r="AC41" s="53"/>
      <c r="AD41" s="53"/>
      <c r="AE41" s="53"/>
      <c r="AF41" s="53"/>
      <c r="AG41" s="53"/>
      <c r="AH41" s="53"/>
      <c r="AI41" s="53"/>
      <c r="AJ41" s="53"/>
      <c r="AK41" s="53"/>
      <c r="AL41" s="53"/>
      <c r="AM41" s="53"/>
      <c r="AN41" s="53"/>
      <c r="AO41" s="53"/>
      <c r="AP41" s="53"/>
    </row>
    <row r="42" spans="1:42" x14ac:dyDescent="0.25">
      <c r="A42" s="37" t="s">
        <v>85</v>
      </c>
      <c r="B42" s="37" t="s">
        <v>25</v>
      </c>
      <c r="C42" s="37" t="s">
        <v>13</v>
      </c>
      <c r="D42" s="51" t="s">
        <v>133</v>
      </c>
      <c r="E42" s="46"/>
      <c r="F42" s="46"/>
      <c r="G42" s="46"/>
      <c r="H42" s="46"/>
      <c r="I42" s="58" t="s">
        <v>68</v>
      </c>
      <c r="J42" s="51" t="s">
        <v>94</v>
      </c>
      <c r="K42" s="65">
        <f>K36-K41</f>
        <v>-10000000000</v>
      </c>
      <c r="L42" s="46" t="s">
        <v>285</v>
      </c>
      <c r="M42" s="37"/>
    </row>
    <row r="43" spans="1:42" x14ac:dyDescent="0.25">
      <c r="A43" s="37" t="s">
        <v>24</v>
      </c>
      <c r="B43" s="37" t="s">
        <v>13</v>
      </c>
      <c r="C43" s="37" t="s">
        <v>13</v>
      </c>
      <c r="D43" s="51" t="s">
        <v>133</v>
      </c>
      <c r="E43" s="46"/>
      <c r="F43" s="46"/>
      <c r="G43" s="46"/>
      <c r="H43" s="46"/>
      <c r="I43" s="58" t="s">
        <v>69</v>
      </c>
      <c r="J43" s="51" t="s">
        <v>94</v>
      </c>
      <c r="K43" s="65">
        <v>300000000000</v>
      </c>
      <c r="L43" s="46" t="s">
        <v>86</v>
      </c>
      <c r="M43" s="37"/>
      <c r="N43" s="53"/>
      <c r="O43" s="53"/>
      <c r="P43" s="53"/>
      <c r="Q43" s="53"/>
      <c r="R43" s="53"/>
      <c r="S43" s="53"/>
      <c r="T43" s="53"/>
      <c r="U43" s="53"/>
      <c r="V43" s="53"/>
      <c r="W43" s="53"/>
      <c r="X43" s="53"/>
      <c r="Y43" s="53"/>
      <c r="Z43" s="53"/>
      <c r="AA43" s="53"/>
      <c r="AB43" s="53"/>
      <c r="AC43" s="53"/>
      <c r="AD43" s="53"/>
      <c r="AE43" s="53"/>
      <c r="AF43" s="53"/>
      <c r="AG43" s="53"/>
      <c r="AH43" s="53"/>
      <c r="AI43" s="53"/>
      <c r="AJ43" s="53"/>
      <c r="AK43" s="53"/>
      <c r="AL43" s="53"/>
      <c r="AM43" s="53"/>
      <c r="AN43" s="53"/>
      <c r="AO43" s="53"/>
      <c r="AP43" s="53"/>
    </row>
  </sheetData>
  <dataValidations disablePrompts="1" count="1">
    <dataValidation type="list" allowBlank="1" showInputMessage="1" showErrorMessage="1" sqref="C1:C40">
      <formula1>SeriesTypes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
  <sheetViews>
    <sheetView workbookViewId="0">
      <selection activeCell="H24" sqref="H24"/>
    </sheetView>
  </sheetViews>
  <sheetFormatPr defaultRowHeight="15" x14ac:dyDescent="0.25"/>
  <cols>
    <col min="1" max="1" width="35.85546875" customWidth="1"/>
    <col min="2" max="2" width="21.7109375" customWidth="1"/>
    <col min="3" max="3" width="20.42578125" customWidth="1"/>
    <col min="4" max="4" width="15.85546875" customWidth="1"/>
    <col min="5" max="5" width="37.7109375" customWidth="1"/>
    <col min="6" max="6" width="36.28515625" customWidth="1"/>
    <col min="7" max="7" width="18.85546875" bestFit="1" customWidth="1"/>
    <col min="8" max="8" width="18" bestFit="1" customWidth="1"/>
    <col min="9" max="9" width="20" bestFit="1" customWidth="1"/>
  </cols>
  <sheetData>
    <row r="1" spans="1:9" x14ac:dyDescent="0.25">
      <c r="A1" s="2" t="s">
        <v>243</v>
      </c>
      <c r="B1" s="2" t="s">
        <v>244</v>
      </c>
      <c r="C1" s="2" t="s">
        <v>245</v>
      </c>
      <c r="D1" s="2" t="s">
        <v>246</v>
      </c>
      <c r="E1" s="2" t="s">
        <v>247</v>
      </c>
      <c r="F1" s="2" t="s">
        <v>248</v>
      </c>
      <c r="G1" s="2" t="s">
        <v>316</v>
      </c>
      <c r="H1" s="2" t="s">
        <v>318</v>
      </c>
      <c r="I1" s="2" t="s">
        <v>319</v>
      </c>
    </row>
    <row r="2" spans="1:9" x14ac:dyDescent="0.25">
      <c r="A2" t="s">
        <v>249</v>
      </c>
      <c r="B2" t="s">
        <v>250</v>
      </c>
      <c r="C2" s="9" t="s">
        <v>197</v>
      </c>
      <c r="D2">
        <v>1.05</v>
      </c>
      <c r="E2" t="s">
        <v>251</v>
      </c>
      <c r="F2" t="s">
        <v>252</v>
      </c>
      <c r="G2" s="60" t="s">
        <v>317</v>
      </c>
      <c r="H2">
        <v>0</v>
      </c>
    </row>
    <row r="3" spans="1:9" x14ac:dyDescent="0.25">
      <c r="C3" s="9"/>
      <c r="F3" t="s">
        <v>253</v>
      </c>
      <c r="G3" s="60" t="s">
        <v>317</v>
      </c>
      <c r="H3">
        <v>0</v>
      </c>
    </row>
    <row r="4" spans="1:9" x14ac:dyDescent="0.25">
      <c r="C4" s="9"/>
      <c r="F4" t="s">
        <v>254</v>
      </c>
      <c r="G4" s="60" t="s">
        <v>317</v>
      </c>
      <c r="H4">
        <v>0</v>
      </c>
    </row>
    <row r="5" spans="1:9" s="37" customFormat="1" x14ac:dyDescent="0.25">
      <c r="C5" s="9"/>
      <c r="G5" s="60"/>
      <c r="I5" s="37" t="s">
        <v>329</v>
      </c>
    </row>
    <row r="6" spans="1:9" s="37" customFormat="1" x14ac:dyDescent="0.25">
      <c r="C6" s="9"/>
      <c r="G6" s="60"/>
      <c r="I6" s="37" t="s">
        <v>330</v>
      </c>
    </row>
    <row r="7" spans="1:9" x14ac:dyDescent="0.25">
      <c r="A7" t="s">
        <v>255</v>
      </c>
      <c r="B7" t="s">
        <v>250</v>
      </c>
      <c r="C7" s="9" t="s">
        <v>256</v>
      </c>
      <c r="D7">
        <v>0.69</v>
      </c>
      <c r="E7" t="s">
        <v>257</v>
      </c>
      <c r="F7" t="s">
        <v>258</v>
      </c>
      <c r="G7" s="60" t="s">
        <v>317</v>
      </c>
      <c r="H7">
        <v>0</v>
      </c>
    </row>
    <row r="8" spans="1:9" x14ac:dyDescent="0.25">
      <c r="F8" t="s">
        <v>259</v>
      </c>
      <c r="G8" s="60" t="s">
        <v>317</v>
      </c>
      <c r="H8">
        <v>0</v>
      </c>
    </row>
    <row r="9" spans="1:9" x14ac:dyDescent="0.25">
      <c r="F9" t="s">
        <v>260</v>
      </c>
      <c r="G9" s="60" t="s">
        <v>317</v>
      </c>
      <c r="H9">
        <v>0</v>
      </c>
    </row>
    <row r="10" spans="1:9" x14ac:dyDescent="0.25">
      <c r="I10" s="37" t="s">
        <v>329</v>
      </c>
    </row>
    <row r="11" spans="1:9" x14ac:dyDescent="0.25">
      <c r="I11" s="37" t="s">
        <v>330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G28"/>
  <sheetViews>
    <sheetView workbookViewId="0">
      <selection activeCell="B28" sqref="B28"/>
    </sheetView>
  </sheetViews>
  <sheetFormatPr defaultRowHeight="15" x14ac:dyDescent="0.25"/>
  <cols>
    <col min="1" max="1" width="6.5703125" bestFit="1" customWidth="1"/>
    <col min="2" max="32" width="7.5703125" bestFit="1" customWidth="1"/>
    <col min="33" max="33" width="5.42578125" bestFit="1" customWidth="1"/>
  </cols>
  <sheetData>
    <row r="1" spans="1:33" x14ac:dyDescent="0.25">
      <c r="B1" s="78" t="s">
        <v>261</v>
      </c>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row>
    <row r="2" spans="1:33" x14ac:dyDescent="0.25">
      <c r="A2" t="s">
        <v>262</v>
      </c>
      <c r="B2" t="s">
        <v>27</v>
      </c>
      <c r="C2" t="s">
        <v>28</v>
      </c>
      <c r="D2" t="s">
        <v>29</v>
      </c>
      <c r="E2" t="s">
        <v>30</v>
      </c>
      <c r="F2" t="s">
        <v>31</v>
      </c>
      <c r="G2" t="s">
        <v>32</v>
      </c>
      <c r="H2" t="s">
        <v>33</v>
      </c>
      <c r="I2" t="s">
        <v>34</v>
      </c>
      <c r="J2" t="s">
        <v>35</v>
      </c>
      <c r="K2" t="s">
        <v>36</v>
      </c>
      <c r="L2" t="s">
        <v>37</v>
      </c>
      <c r="M2" t="s">
        <v>38</v>
      </c>
      <c r="N2" t="s">
        <v>39</v>
      </c>
      <c r="O2" t="s">
        <v>40</v>
      </c>
      <c r="P2" t="s">
        <v>41</v>
      </c>
      <c r="Q2" t="s">
        <v>42</v>
      </c>
      <c r="R2" t="s">
        <v>43</v>
      </c>
      <c r="S2" t="s">
        <v>44</v>
      </c>
      <c r="T2" t="s">
        <v>45</v>
      </c>
      <c r="U2" t="s">
        <v>46</v>
      </c>
      <c r="V2" t="s">
        <v>47</v>
      </c>
      <c r="W2" t="s">
        <v>48</v>
      </c>
      <c r="X2" t="s">
        <v>49</v>
      </c>
      <c r="Y2" t="s">
        <v>50</v>
      </c>
      <c r="Z2" t="s">
        <v>51</v>
      </c>
      <c r="AA2" t="s">
        <v>52</v>
      </c>
      <c r="AB2" t="s">
        <v>53</v>
      </c>
      <c r="AC2" t="s">
        <v>54</v>
      </c>
      <c r="AD2" t="s">
        <v>55</v>
      </c>
      <c r="AE2" t="s">
        <v>56</v>
      </c>
      <c r="AF2" t="s">
        <v>118</v>
      </c>
    </row>
    <row r="3" spans="1:33" x14ac:dyDescent="0.25">
      <c r="A3" t="s">
        <v>263</v>
      </c>
      <c r="B3" s="36">
        <v>0</v>
      </c>
      <c r="C3" s="36">
        <f t="shared" ref="C3:R3" si="0">MIN(1,ROUND((1+$B3)^C$26-1,5))</f>
        <v>0</v>
      </c>
      <c r="D3" s="36">
        <f t="shared" si="0"/>
        <v>0</v>
      </c>
      <c r="E3" s="36">
        <f t="shared" si="0"/>
        <v>0</v>
      </c>
      <c r="F3" s="36">
        <f t="shared" si="0"/>
        <v>0</v>
      </c>
      <c r="G3" s="36">
        <f t="shared" si="0"/>
        <v>0</v>
      </c>
      <c r="H3" s="36">
        <f t="shared" si="0"/>
        <v>0</v>
      </c>
      <c r="I3" s="36">
        <f t="shared" si="0"/>
        <v>0</v>
      </c>
      <c r="J3" s="36">
        <f t="shared" si="0"/>
        <v>0</v>
      </c>
      <c r="K3" s="36">
        <f t="shared" si="0"/>
        <v>0</v>
      </c>
      <c r="L3" s="36">
        <f t="shared" si="0"/>
        <v>0</v>
      </c>
      <c r="M3" s="36">
        <f t="shared" si="0"/>
        <v>0</v>
      </c>
      <c r="N3" s="36">
        <f t="shared" si="0"/>
        <v>0</v>
      </c>
      <c r="O3" s="36">
        <f t="shared" si="0"/>
        <v>0</v>
      </c>
      <c r="P3" s="36">
        <f t="shared" si="0"/>
        <v>0</v>
      </c>
      <c r="Q3" s="36">
        <f t="shared" si="0"/>
        <v>0</v>
      </c>
      <c r="R3" s="36">
        <f t="shared" si="0"/>
        <v>0</v>
      </c>
      <c r="S3" s="36">
        <f t="shared" ref="S3:AF3" si="1">MIN(1,ROUND((1+$B3)^S$26-1,5))</f>
        <v>0</v>
      </c>
      <c r="T3" s="36">
        <f t="shared" si="1"/>
        <v>0</v>
      </c>
      <c r="U3" s="36">
        <f t="shared" si="1"/>
        <v>0</v>
      </c>
      <c r="V3" s="36">
        <f t="shared" si="1"/>
        <v>0</v>
      </c>
      <c r="W3" s="36">
        <f t="shared" si="1"/>
        <v>0</v>
      </c>
      <c r="X3" s="36">
        <f t="shared" si="1"/>
        <v>0</v>
      </c>
      <c r="Y3" s="36">
        <f t="shared" si="1"/>
        <v>0</v>
      </c>
      <c r="Z3" s="36">
        <f t="shared" si="1"/>
        <v>0</v>
      </c>
      <c r="AA3" s="36">
        <f t="shared" si="1"/>
        <v>0</v>
      </c>
      <c r="AB3" s="36">
        <f t="shared" si="1"/>
        <v>0</v>
      </c>
      <c r="AC3" s="36">
        <f t="shared" si="1"/>
        <v>0</v>
      </c>
      <c r="AD3" s="36">
        <f t="shared" si="1"/>
        <v>0</v>
      </c>
      <c r="AE3" s="36">
        <f t="shared" si="1"/>
        <v>0</v>
      </c>
      <c r="AF3" s="36">
        <f t="shared" si="1"/>
        <v>0</v>
      </c>
      <c r="AG3" t="str">
        <f>A3</f>
        <v>AAA</v>
      </c>
    </row>
    <row r="4" spans="1:33" x14ac:dyDescent="0.25">
      <c r="A4" t="s">
        <v>264</v>
      </c>
      <c r="B4" s="36">
        <v>1.6881943016134132E-6</v>
      </c>
      <c r="C4" s="36">
        <v>7.7459666924148335E-6</v>
      </c>
      <c r="D4" s="36">
        <v>2.6457513110645909E-5</v>
      </c>
      <c r="E4" s="36">
        <v>6.1481704595757597E-5</v>
      </c>
      <c r="F4" s="36">
        <v>9.4815610529068469E-5</v>
      </c>
      <c r="G4" s="36">
        <v>1.2961481396815721E-4</v>
      </c>
      <c r="H4" s="36">
        <v>1.6757088052522727E-4</v>
      </c>
      <c r="I4" s="36">
        <v>2.1028552018624585E-4</v>
      </c>
      <c r="J4" s="36">
        <v>2.593067681338071E-4</v>
      </c>
      <c r="K4" s="36">
        <v>3.1622776601683794E-4</v>
      </c>
      <c r="L4" s="36">
        <v>3.9773576211929961E-4</v>
      </c>
      <c r="M4" s="36">
        <v>4.7866595978786764E-4</v>
      </c>
      <c r="N4" s="36">
        <v>5.667840856627477E-4</v>
      </c>
      <c r="O4" s="36">
        <v>6.6189125062432485E-4</v>
      </c>
      <c r="P4" s="36">
        <v>7.6376679984916577E-4</v>
      </c>
      <c r="Q4" s="36">
        <v>8.7217260217493193E-4</v>
      </c>
      <c r="R4" s="36">
        <v>9.8685685605762749E-4</v>
      </c>
      <c r="S4" s="36">
        <v>1.1075574474815049E-3</v>
      </c>
      <c r="T4" s="36">
        <v>1.2340048963836697E-3</v>
      </c>
      <c r="U4" s="36">
        <v>1.365924928035351E-3</v>
      </c>
      <c r="V4" s="36">
        <v>1.5030407047819136E-3</v>
      </c>
      <c r="W4" s="36">
        <v>1.6450747518908591E-3</v>
      </c>
      <c r="X4" s="36">
        <v>1.7917506092219896E-3</v>
      </c>
      <c r="Y4" s="36">
        <v>1.942794238187436E-3</v>
      </c>
      <c r="Z4" s="36">
        <v>2.0979352111357985E-3</v>
      </c>
      <c r="AA4" s="36">
        <v>2.2569077079628835E-3</v>
      </c>
      <c r="AB4" s="36">
        <v>2.4194513424827691E-3</v>
      </c>
      <c r="AC4" s="36">
        <v>2.5853118389280055E-3</v>
      </c>
      <c r="AD4" s="36">
        <v>2.7542415769119229E-3</v>
      </c>
      <c r="AE4" s="36">
        <v>2.9260000212933276E-3</v>
      </c>
      <c r="AF4" s="36">
        <f>AE4+AE4-AD4</f>
        <v>3.0977584656747322E-3</v>
      </c>
      <c r="AG4" t="str">
        <f t="shared" ref="AG4:AG23" si="2">A4</f>
        <v>AA+</v>
      </c>
    </row>
    <row r="5" spans="1:33" x14ac:dyDescent="0.25">
      <c r="A5" t="s">
        <v>265</v>
      </c>
      <c r="B5" s="36">
        <v>8.8045442812220558E-6</v>
      </c>
      <c r="C5" s="36">
        <v>4.8989794855663562E-5</v>
      </c>
      <c r="D5" s="36">
        <v>1.6124515496597098E-4</v>
      </c>
      <c r="E5" s="36">
        <v>3.1416556144810013E-4</v>
      </c>
      <c r="F5" s="36">
        <v>4.5912961132995987E-4</v>
      </c>
      <c r="G5" s="36">
        <v>6.1139185470531084E-4</v>
      </c>
      <c r="H5" s="36">
        <v>7.7420927403383641E-4</v>
      </c>
      <c r="I5" s="36">
        <v>9.5105204904884157E-4</v>
      </c>
      <c r="J5" s="36">
        <v>1.159655121145938E-3</v>
      </c>
      <c r="K5" s="36">
        <v>1.414213562373095E-3</v>
      </c>
      <c r="L5" s="36">
        <v>1.804711387945459E-3</v>
      </c>
      <c r="M5" s="36">
        <v>2.2018388728916936E-3</v>
      </c>
      <c r="N5" s="36">
        <v>2.6412011417734568E-3</v>
      </c>
      <c r="O5" s="36">
        <v>3.122652220224707E-3</v>
      </c>
      <c r="P5" s="36">
        <v>3.6458294440564281E-3</v>
      </c>
      <c r="Q5" s="36">
        <v>4.2101720905440157E-3</v>
      </c>
      <c r="R5" s="36">
        <v>4.8149400991491951E-3</v>
      </c>
      <c r="S5" s="36">
        <v>5.4592326246794875E-3</v>
      </c>
      <c r="T5" s="36">
        <v>6.1420062066282668E-3</v>
      </c>
      <c r="U5" s="36">
        <v>6.862092377210716E-3</v>
      </c>
      <c r="V5" s="36">
        <v>7.6182145665516787E-3</v>
      </c>
      <c r="W5" s="36">
        <v>8.4090041960897741E-3</v>
      </c>
      <c r="X5" s="36">
        <v>9.2330158803064048E-3</v>
      </c>
      <c r="Y5" s="36">
        <v>1.0088741682331133E-2</v>
      </c>
      <c r="Z5" s="36">
        <v>1.0974624390915367E-2</v>
      </c>
      <c r="AA5" s="36">
        <v>1.1889069804894462E-2</v>
      </c>
      <c r="AB5" s="36">
        <v>1.283045802682139E-2</v>
      </c>
      <c r="AC5" s="36">
        <v>1.3797153780231974E-2</v>
      </c>
      <c r="AD5" s="36">
        <v>1.4787515775282974E-2</v>
      </c>
      <c r="AE5" s="36">
        <v>1.5799905155581242E-2</v>
      </c>
      <c r="AF5" s="36">
        <f t="shared" ref="AF5:AF22" si="3">AE5+AE5-AD5</f>
        <v>1.6812294535879509E-2</v>
      </c>
      <c r="AG5" t="str">
        <f t="shared" si="2"/>
        <v>AA</v>
      </c>
    </row>
    <row r="6" spans="1:33" x14ac:dyDescent="0.25">
      <c r="A6" t="s">
        <v>266</v>
      </c>
      <c r="B6" s="36">
        <v>2.0266228065429445E-5</v>
      </c>
      <c r="C6" s="36">
        <v>1.2328828005937954E-4</v>
      </c>
      <c r="D6" s="36">
        <v>3.9166312055132277E-4</v>
      </c>
      <c r="E6" s="36">
        <v>6.8898476035395722E-4</v>
      </c>
      <c r="F6" s="36">
        <v>9.8264947972305982E-4</v>
      </c>
      <c r="G6" s="36">
        <v>1.2762053126358626E-3</v>
      </c>
      <c r="H6" s="36">
        <v>1.5873562927080991E-3</v>
      </c>
      <c r="I6" s="36">
        <v>1.9162463307205576E-3</v>
      </c>
      <c r="J6" s="36">
        <v>2.3157720095035262E-3</v>
      </c>
      <c r="K6" s="36">
        <v>2.8284271247461901E-3</v>
      </c>
      <c r="L6" s="36">
        <v>4.0053530621406023E-3</v>
      </c>
      <c r="M6" s="36">
        <v>4.8196577847585209E-3</v>
      </c>
      <c r="N6" s="36">
        <v>5.7091299812381526E-3</v>
      </c>
      <c r="O6" s="36">
        <v>6.6721119894478358E-3</v>
      </c>
      <c r="P6" s="36">
        <v>7.7066086676659306E-3</v>
      </c>
      <c r="Q6" s="36">
        <v>8.8103366050014519E-3</v>
      </c>
      <c r="R6" s="36">
        <v>9.9807703147484911E-3</v>
      </c>
      <c r="S6" s="36">
        <v>1.1215185160338594E-2</v>
      </c>
      <c r="T6" s="36">
        <v>1.2510696882952756E-2</v>
      </c>
      <c r="U6" s="36">
        <v>1.3864297695034519E-2</v>
      </c>
      <c r="V6" s="36">
        <v>1.5272888978124588E-2</v>
      </c>
      <c r="W6" s="36">
        <v>1.6733310679770391E-2</v>
      </c>
      <c r="X6" s="36">
        <v>1.8242367545668166E-2</v>
      </c>
      <c r="Y6" s="36">
        <v>1.979685235228416E-2</v>
      </c>
      <c r="Z6" s="36">
        <v>2.1393566324268507E-2</v>
      </c>
      <c r="AA6" s="36">
        <v>2.3029336932001581E-2</v>
      </c>
      <c r="AB6" s="36">
        <v>2.4701033269286746E-2</v>
      </c>
      <c r="AC6" s="36">
        <v>2.6405579210950068E-2</v>
      </c>
      <c r="AD6" s="36">
        <v>2.8139964546112825E-2</v>
      </c>
      <c r="AE6" s="36">
        <v>2.9901254276146691E-2</v>
      </c>
      <c r="AF6" s="36">
        <f t="shared" si="3"/>
        <v>3.1662544006180557E-2</v>
      </c>
      <c r="AG6" t="str">
        <f t="shared" si="2"/>
        <v>AA-</v>
      </c>
    </row>
    <row r="7" spans="1:33" x14ac:dyDescent="0.25">
      <c r="A7" t="s">
        <v>267</v>
      </c>
      <c r="B7" s="36">
        <v>4.1888184491572325E-5</v>
      </c>
      <c r="C7" s="36">
        <v>2.6514147167125705E-4</v>
      </c>
      <c r="D7" s="36">
        <v>8.3084294544757378E-4</v>
      </c>
      <c r="E7" s="36">
        <v>1.3816294727603347E-3</v>
      </c>
      <c r="F7" s="36">
        <v>1.9251493448561334E-3</v>
      </c>
      <c r="G7" s="36">
        <v>2.4574376899526872E-3</v>
      </c>
      <c r="H7" s="36">
        <v>3.0358194939752265E-3</v>
      </c>
      <c r="I7" s="36">
        <v>3.6133087330035888E-3</v>
      </c>
      <c r="J7" s="36">
        <v>4.3286371989345561E-3</v>
      </c>
      <c r="K7" s="36">
        <v>5.2915026221291815E-3</v>
      </c>
      <c r="L7" s="36">
        <v>8.1737151931716694E-3</v>
      </c>
      <c r="M7" s="36">
        <v>9.6602300887237095E-3</v>
      </c>
      <c r="N7" s="36">
        <v>1.1255962565678592E-2</v>
      </c>
      <c r="O7" s="36">
        <v>1.2955086158840851E-2</v>
      </c>
      <c r="P7" s="36">
        <v>1.4751478213134503E-2</v>
      </c>
      <c r="Q7" s="36">
        <v>1.6638821752655557E-2</v>
      </c>
      <c r="R7" s="36">
        <v>1.8610694208461981E-2</v>
      </c>
      <c r="S7" s="36">
        <v>2.0660643671521886E-2</v>
      </c>
      <c r="T7" s="36">
        <v>2.2782253536231412E-2</v>
      </c>
      <c r="U7" s="36">
        <v>2.4969196512487257E-2</v>
      </c>
      <c r="V7" s="36">
        <v>2.7215279033055487E-2</v>
      </c>
      <c r="W7" s="36">
        <v>2.9514477085667415E-2</v>
      </c>
      <c r="X7" s="36">
        <v>3.1860964469700666E-2</v>
      </c>
      <c r="Y7" s="36">
        <v>3.4249134426090455E-2</v>
      </c>
      <c r="Z7" s="36">
        <v>3.6673615524328886E-2</v>
      </c>
      <c r="AA7" s="36">
        <v>3.9129282618088332E-2</v>
      </c>
      <c r="AB7" s="36">
        <v>4.1611263605583988E-2</v>
      </c>
      <c r="AC7" s="36">
        <v>4.4114942655458532E-2</v>
      </c>
      <c r="AD7" s="36">
        <v>4.6635960485946731E-2</v>
      </c>
      <c r="AE7" s="36">
        <v>4.9170212215837332E-2</v>
      </c>
      <c r="AF7" s="36">
        <f t="shared" si="3"/>
        <v>5.1704463945727933E-2</v>
      </c>
      <c r="AG7" t="str">
        <f t="shared" si="2"/>
        <v>A+</v>
      </c>
    </row>
    <row r="8" spans="1:33" x14ac:dyDescent="0.25">
      <c r="A8" t="s">
        <v>268</v>
      </c>
      <c r="B8" s="36">
        <v>7.9469931420632294E-5</v>
      </c>
      <c r="C8" s="36">
        <v>5.0892042599997884E-4</v>
      </c>
      <c r="D8" s="36">
        <v>1.6116451222275951E-3</v>
      </c>
      <c r="E8" s="36">
        <v>2.5535269726399993E-3</v>
      </c>
      <c r="F8" s="36">
        <v>3.4912318742816267E-3</v>
      </c>
      <c r="G8" s="36">
        <v>4.3862284482229152E-3</v>
      </c>
      <c r="H8" s="36">
        <v>5.3689850064979694E-3</v>
      </c>
      <c r="I8" s="36">
        <v>6.3080900437454124E-3</v>
      </c>
      <c r="J8" s="36">
        <v>7.5012398975102777E-3</v>
      </c>
      <c r="K8" s="36">
        <v>9.1651513899116809E-3</v>
      </c>
      <c r="L8" s="36">
        <v>1.219275418787483E-2</v>
      </c>
      <c r="M8" s="36">
        <v>1.433651616551015E-2</v>
      </c>
      <c r="N8" s="36">
        <v>1.6623941601628466E-2</v>
      </c>
      <c r="O8" s="36">
        <v>1.9045164010824685E-2</v>
      </c>
      <c r="P8" s="36">
        <v>2.1590041085979131E-2</v>
      </c>
      <c r="Q8" s="36">
        <v>2.4248309809448764E-2</v>
      </c>
      <c r="R8" s="36">
        <v>2.7009718745014847E-2</v>
      </c>
      <c r="S8" s="36">
        <v>2.9864138972423987E-2</v>
      </c>
      <c r="T8" s="36">
        <v>3.2801655418162733E-2</v>
      </c>
      <c r="U8" s="36">
        <v>3.5812640482017995E-2</v>
      </c>
      <c r="V8" s="36">
        <v>3.8887811898761664E-2</v>
      </c>
      <c r="W8" s="36">
        <v>4.2018276739031073E-2</v>
      </c>
      <c r="X8" s="36">
        <v>4.5195563367156209E-2</v>
      </c>
      <c r="Y8" s="36">
        <v>4.8411643054608405E-2</v>
      </c>
      <c r="Z8" s="36">
        <v>5.165894280965759E-2</v>
      </c>
      <c r="AA8" s="36">
        <v>5.4930350836870041E-2</v>
      </c>
      <c r="AB8" s="36">
        <v>5.8219215891575193E-2</v>
      </c>
      <c r="AC8" s="36">
        <v>6.151934164950848E-2</v>
      </c>
      <c r="AD8" s="36">
        <v>6.4824977073948784E-2</v>
      </c>
      <c r="AE8" s="36">
        <v>6.8130803633989628E-2</v>
      </c>
      <c r="AF8" s="36">
        <f t="shared" si="3"/>
        <v>7.1436630194030473E-2</v>
      </c>
      <c r="AG8" t="str">
        <f t="shared" si="2"/>
        <v>A</v>
      </c>
    </row>
    <row r="9" spans="1:33" x14ac:dyDescent="0.25">
      <c r="A9" t="s">
        <v>269</v>
      </c>
      <c r="B9" s="36">
        <v>2.0549927007169636E-4</v>
      </c>
      <c r="C9" s="36">
        <v>1.02469507659596E-3</v>
      </c>
      <c r="D9" s="36">
        <v>2.8270125574535393E-3</v>
      </c>
      <c r="E9" s="36">
        <v>4.3162483709814478E-3</v>
      </c>
      <c r="F9" s="36">
        <v>5.8387498661956741E-3</v>
      </c>
      <c r="G9" s="36">
        <v>7.2837490346661449E-3</v>
      </c>
      <c r="H9" s="36">
        <v>8.8774996479864757E-3</v>
      </c>
      <c r="I9" s="36">
        <v>1.038123306741545E-2</v>
      </c>
      <c r="J9" s="36">
        <v>1.2217364691290835E-2</v>
      </c>
      <c r="K9" s="36">
        <v>1.4696938456699069E-2</v>
      </c>
      <c r="L9" s="36">
        <v>1.8275576351425713E-2</v>
      </c>
      <c r="M9" s="36">
        <v>2.1225921690944522E-2</v>
      </c>
      <c r="N9" s="36">
        <v>2.4335524897133306E-2</v>
      </c>
      <c r="O9" s="36">
        <v>2.7589502701414196E-2</v>
      </c>
      <c r="P9" s="36">
        <v>3.097313471327982E-2</v>
      </c>
      <c r="Q9" s="36">
        <v>3.4472019386832455E-2</v>
      </c>
      <c r="R9" s="36">
        <v>3.8072198206046952E-2</v>
      </c>
      <c r="S9" s="36">
        <v>4.1760251722843138E-2</v>
      </c>
      <c r="T9" s="36">
        <v>4.5523371064355819E-2</v>
      </c>
      <c r="U9" s="36">
        <v>4.9349408366218761E-2</v>
      </c>
      <c r="V9" s="36">
        <v>5.3226909344382893E-2</v>
      </c>
      <c r="W9" s="36">
        <v>5.7145130928599096E-2</v>
      </c>
      <c r="X9" s="36">
        <v>6.1094046573356396E-2</v>
      </c>
      <c r="Y9" s="36">
        <v>6.5064341554960284E-2</v>
      </c>
      <c r="Z9" s="36">
        <v>6.9047400268325357E-2</v>
      </c>
      <c r="AA9" s="36">
        <v>7.3035287261124654E-2</v>
      </c>
      <c r="AB9" s="36">
        <v>7.7020723490140622E-2</v>
      </c>
      <c r="AC9" s="36">
        <v>8.0997059056711798E-2</v>
      </c>
      <c r="AD9" s="36">
        <v>8.4958243475260861E-2</v>
      </c>
      <c r="AE9" s="36">
        <v>8.8898794350214819E-2</v>
      </c>
      <c r="AF9" s="36">
        <f t="shared" si="3"/>
        <v>9.2839345225168776E-2</v>
      </c>
      <c r="AG9" t="str">
        <f t="shared" si="2"/>
        <v>A-</v>
      </c>
    </row>
    <row r="10" spans="1:33" x14ac:dyDescent="0.25">
      <c r="A10" t="s">
        <v>270</v>
      </c>
      <c r="B10" s="36">
        <v>5.9131210033281072E-4</v>
      </c>
      <c r="C10" s="36">
        <v>2.04939015319192E-3</v>
      </c>
      <c r="D10" s="36">
        <v>4.4899888641287298E-3</v>
      </c>
      <c r="E10" s="36">
        <v>6.6947740813264192E-3</v>
      </c>
      <c r="F10" s="36">
        <v>8.9610267268879409E-3</v>
      </c>
      <c r="G10" s="36">
        <v>1.1165572085656874E-2</v>
      </c>
      <c r="H10" s="36">
        <v>1.3615065185301171E-2</v>
      </c>
      <c r="I10" s="36">
        <v>1.6003124694883807E-2</v>
      </c>
      <c r="J10" s="36">
        <v>1.8575252353602089E-2</v>
      </c>
      <c r="K10" s="36">
        <v>2.1633307652783935E-2</v>
      </c>
      <c r="L10" s="36">
        <v>2.7450711056398503E-2</v>
      </c>
      <c r="M10" s="36">
        <v>3.1390704357304094E-2</v>
      </c>
      <c r="N10" s="36">
        <v>3.5476810470046104E-2</v>
      </c>
      <c r="O10" s="36">
        <v>3.9688702166976564E-2</v>
      </c>
      <c r="P10" s="36">
        <v>4.4007151294732663E-2</v>
      </c>
      <c r="Q10" s="36">
        <v>4.841410550145956E-2</v>
      </c>
      <c r="R10" s="36">
        <v>5.2892729237851342E-2</v>
      </c>
      <c r="S10" s="36">
        <v>5.7427416057016831E-2</v>
      </c>
      <c r="T10" s="36">
        <v>6.2003778338719041E-2</v>
      </c>
      <c r="U10" s="36">
        <v>6.6608619675119191E-2</v>
      </c>
      <c r="V10" s="36">
        <v>7.1229894321729881E-2</v>
      </c>
      <c r="W10" s="36">
        <v>7.5856657361997121E-2</v>
      </c>
      <c r="X10" s="36">
        <v>8.0479008566404137E-2</v>
      </c>
      <c r="Y10" s="36">
        <v>8.5088032348295553E-2</v>
      </c>
      <c r="Z10" s="36">
        <v>8.9675735724704636E-2</v>
      </c>
      <c r="AA10" s="36">
        <v>9.4234985774423907E-2</v>
      </c>
      <c r="AB10" s="36">
        <v>9.875944773916033E-2</v>
      </c>
      <c r="AC10" s="36">
        <v>0.10324352462824729</v>
      </c>
      <c r="AD10" s="36">
        <v>0.10768229895467475</v>
      </c>
      <c r="AE10" s="36">
        <v>0.11207147704232676</v>
      </c>
      <c r="AF10" s="36">
        <f t="shared" si="3"/>
        <v>0.11646065512997876</v>
      </c>
      <c r="AG10" t="str">
        <f t="shared" si="2"/>
        <v>BBB+</v>
      </c>
    </row>
    <row r="11" spans="1:33" x14ac:dyDescent="0.25">
      <c r="A11" t="s">
        <v>271</v>
      </c>
      <c r="B11" s="36">
        <v>1.2369316876852982E-3</v>
      </c>
      <c r="C11" s="36">
        <v>3.6276714294434112E-3</v>
      </c>
      <c r="D11" s="36">
        <v>6.817624219623725E-3</v>
      </c>
      <c r="E11" s="36">
        <v>9.9799799598997204E-3</v>
      </c>
      <c r="F11" s="36">
        <v>1.3183322798141597E-2</v>
      </c>
      <c r="G11" s="36">
        <v>1.6428329190760697E-2</v>
      </c>
      <c r="H11" s="36">
        <v>2.0061654966627256E-2</v>
      </c>
      <c r="I11" s="36">
        <v>2.3694936167881948E-2</v>
      </c>
      <c r="J11" s="36">
        <v>2.7119734511974854E-2</v>
      </c>
      <c r="K11" s="36">
        <v>3.0594117081556706E-2</v>
      </c>
      <c r="L11" s="36">
        <v>3.6535125229386546E-2</v>
      </c>
      <c r="M11" s="36">
        <v>4.1464113410985312E-2</v>
      </c>
      <c r="N11" s="36">
        <v>4.6526735849087716E-2</v>
      </c>
      <c r="O11" s="36">
        <v>5.1697121251122191E-2</v>
      </c>
      <c r="P11" s="36">
        <v>5.6951441177784577E-2</v>
      </c>
      <c r="Q11" s="36">
        <v>6.2267908227142045E-2</v>
      </c>
      <c r="R11" s="36">
        <v>6.7626734153312273E-2</v>
      </c>
      <c r="S11" s="36">
        <v>7.3010058406539333E-2</v>
      </c>
      <c r="T11" s="36">
        <v>7.8401855805087753E-2</v>
      </c>
      <c r="U11" s="36">
        <v>8.3787830426803475E-2</v>
      </c>
      <c r="V11" s="36">
        <v>8.9155301375880527E-2</v>
      </c>
      <c r="W11" s="36">
        <v>9.4493084848101469E-2</v>
      </c>
      <c r="X11" s="36">
        <v>9.9791375879319119E-2</v>
      </c>
      <c r="Y11" s="36">
        <v>0.10504163230199676</v>
      </c>
      <c r="Z11" s="36">
        <v>0.1102364627336704</v>
      </c>
      <c r="AA11" s="36">
        <v>0.11536951985831197</v>
      </c>
      <c r="AB11" s="36">
        <v>0.12043539981623062</v>
      </c>
      <c r="AC11" s="36">
        <v>0.12542954817126545</v>
      </c>
      <c r="AD11" s="36">
        <v>0.13034817265845125</v>
      </c>
      <c r="AE11" s="36">
        <v>0.13518816271607562</v>
      </c>
      <c r="AF11" s="36">
        <f t="shared" si="3"/>
        <v>0.14002815277369998</v>
      </c>
      <c r="AG11" t="str">
        <f t="shared" si="2"/>
        <v>BBB</v>
      </c>
    </row>
    <row r="12" spans="1:33" x14ac:dyDescent="0.25">
      <c r="A12" t="s">
        <v>272</v>
      </c>
      <c r="B12" s="36">
        <v>2.6720778431774772E-3</v>
      </c>
      <c r="C12" s="36">
        <v>7.0249555158733929E-3</v>
      </c>
      <c r="D12" s="36">
        <v>1.191343779099887E-2</v>
      </c>
      <c r="E12" s="36">
        <v>1.6899704139422086E-2</v>
      </c>
      <c r="F12" s="36">
        <v>2.1952220844370166E-2</v>
      </c>
      <c r="G12" s="36">
        <v>2.699814808463721E-2</v>
      </c>
      <c r="H12" s="36">
        <v>3.2303714956642374E-2</v>
      </c>
      <c r="I12" s="36">
        <v>3.7635754277016958E-2</v>
      </c>
      <c r="J12" s="36">
        <v>4.2481525396341403E-2</v>
      </c>
      <c r="K12" s="36">
        <v>4.6861498055439925E-2</v>
      </c>
      <c r="L12" s="36">
        <v>5.6386175797047175E-2</v>
      </c>
      <c r="M12" s="36">
        <v>6.2994402747990147E-2</v>
      </c>
      <c r="N12" s="36">
        <v>6.9659025421030266E-2</v>
      </c>
      <c r="O12" s="36">
        <v>7.6350421396999199E-2</v>
      </c>
      <c r="P12" s="36">
        <v>8.3042705328236918E-2</v>
      </c>
      <c r="Q12" s="36">
        <v>8.9713432145277855E-2</v>
      </c>
      <c r="R12" s="36">
        <v>9.6343291393091932E-2</v>
      </c>
      <c r="S12" s="36">
        <v>0.10291580413595405</v>
      </c>
      <c r="T12" s="36">
        <v>0.10941703034104441</v>
      </c>
      <c r="U12" s="36">
        <v>0.11583529192979761</v>
      </c>
      <c r="V12" s="36">
        <v>0.12216091463039511</v>
      </c>
      <c r="W12" s="36">
        <v>0.12838599024392822</v>
      </c>
      <c r="X12" s="36">
        <v>0.13450415983741482</v>
      </c>
      <c r="Y12" s="36">
        <v>0.14051041760437638</v>
      </c>
      <c r="Z12" s="36">
        <v>0.14640093461087109</v>
      </c>
      <c r="AA12" s="36">
        <v>0.152172901309924</v>
      </c>
      <c r="AB12" s="36">
        <v>0.15782438751144687</v>
      </c>
      <c r="AC12" s="36">
        <v>0.1633542184000335</v>
      </c>
      <c r="AD12" s="36">
        <v>0.16876186517025055</v>
      </c>
      <c r="AE12" s="36">
        <v>0.17404734887599521</v>
      </c>
      <c r="AF12" s="36">
        <f t="shared" si="3"/>
        <v>0.17933283258173988</v>
      </c>
      <c r="AG12" t="str">
        <f t="shared" si="2"/>
        <v>BBB-</v>
      </c>
    </row>
    <row r="13" spans="1:33" x14ac:dyDescent="0.25">
      <c r="A13" t="s">
        <v>273</v>
      </c>
      <c r="B13" s="36">
        <v>6.0448325038829648E-3</v>
      </c>
      <c r="C13" s="36">
        <v>1.456365338780074E-2</v>
      </c>
      <c r="D13" s="36">
        <v>2.3135038361757693E-2</v>
      </c>
      <c r="E13" s="36">
        <v>3.1616451413781409E-2</v>
      </c>
      <c r="F13" s="36">
        <v>4.0129789433785965E-2</v>
      </c>
      <c r="G13" s="36">
        <v>4.8088460154178357E-2</v>
      </c>
      <c r="H13" s="36">
        <v>5.5289962922758409E-2</v>
      </c>
      <c r="I13" s="36">
        <v>6.2620523792124252E-2</v>
      </c>
      <c r="J13" s="36">
        <v>6.9572480191524011E-2</v>
      </c>
      <c r="K13" s="36">
        <v>7.5723180070570204E-2</v>
      </c>
      <c r="L13" s="36">
        <v>9.3102040058022265E-2</v>
      </c>
      <c r="M13" s="36">
        <v>0.10217427087295852</v>
      </c>
      <c r="N13" s="36">
        <v>0.11111852640051412</v>
      </c>
      <c r="O13" s="36">
        <v>0.11990930154064505</v>
      </c>
      <c r="P13" s="36">
        <v>0.12852673865451089</v>
      </c>
      <c r="Q13" s="36">
        <v>0.1369558069487605</v>
      </c>
      <c r="R13" s="36">
        <v>0.14518555820334697</v>
      </c>
      <c r="S13" s="36">
        <v>0.15320846435837526</v>
      </c>
      <c r="T13" s="36">
        <v>0.16101983648564339</v>
      </c>
      <c r="U13" s="36">
        <v>0.16861732105233479</v>
      </c>
      <c r="V13" s="36">
        <v>0.17600046737538719</v>
      </c>
      <c r="W13" s="36">
        <v>0.18317035922734606</v>
      </c>
      <c r="X13" s="36">
        <v>0.19012930331131006</v>
      </c>
      <c r="Y13" s="36">
        <v>0.19688056751273905</v>
      </c>
      <c r="Z13" s="36">
        <v>0.20342816228063132</v>
      </c>
      <c r="AA13" s="36">
        <v>0.20977665906942863</v>
      </c>
      <c r="AB13" s="36">
        <v>0.21593104040656311</v>
      </c>
      <c r="AC13" s="36">
        <v>0.22189657678802779</v>
      </c>
      <c r="AD13" s="36">
        <v>0.22767872621469351</v>
      </c>
      <c r="AE13" s="36">
        <v>0.23328305274769359</v>
      </c>
      <c r="AF13" s="36">
        <f t="shared" si="3"/>
        <v>0.23888737928069367</v>
      </c>
      <c r="AG13" t="str">
        <f t="shared" si="2"/>
        <v>BB+</v>
      </c>
    </row>
    <row r="14" spans="1:33" x14ac:dyDescent="0.25">
      <c r="A14" t="s">
        <v>274</v>
      </c>
      <c r="B14" s="36">
        <v>1.164989270336856E-2</v>
      </c>
      <c r="C14" s="36">
        <v>2.6475271481138773E-2</v>
      </c>
      <c r="D14" s="36">
        <v>4.0265866437964551E-2</v>
      </c>
      <c r="E14" s="36">
        <v>5.3441556863549552E-2</v>
      </c>
      <c r="F14" s="36">
        <v>6.6636926699841129E-2</v>
      </c>
      <c r="G14" s="36">
        <v>7.8142498040438921E-2</v>
      </c>
      <c r="H14" s="36">
        <v>8.6914900908877532E-2</v>
      </c>
      <c r="I14" s="36">
        <v>9.5915275112987086E-2</v>
      </c>
      <c r="J14" s="36">
        <v>0.10484679298862698</v>
      </c>
      <c r="K14" s="36">
        <v>0.11264990013311153</v>
      </c>
      <c r="L14" s="36">
        <v>0.12921895125577529</v>
      </c>
      <c r="M14" s="36">
        <v>0.14076719735879348</v>
      </c>
      <c r="N14" s="36">
        <v>0.15200643453783394</v>
      </c>
      <c r="O14" s="36">
        <v>0.16291438727995525</v>
      </c>
      <c r="P14" s="36">
        <v>0.17347648707378982</v>
      </c>
      <c r="Q14" s="36">
        <v>0.1836845102529826</v>
      </c>
      <c r="R14" s="36">
        <v>0.19353537813122001</v>
      </c>
      <c r="S14" s="36">
        <v>0.20303011930376014</v>
      </c>
      <c r="T14" s="36">
        <v>0.21217298549929078</v>
      </c>
      <c r="U14" s="36">
        <v>0.22097070776446634</v>
      </c>
      <c r="V14" s="36">
        <v>0.22943187771147888</v>
      </c>
      <c r="W14" s="36">
        <v>0.23756643812887768</v>
      </c>
      <c r="X14" s="36">
        <v>0.24538526781274617</v>
      </c>
      <c r="Y14" s="36">
        <v>0.25289984659106812</v>
      </c>
      <c r="Z14" s="36">
        <v>0.26012198790527463</v>
      </c>
      <c r="AA14" s="36">
        <v>0.26706362779679849</v>
      </c>
      <c r="AB14" s="36">
        <v>0.27373666060943669</v>
      </c>
      <c r="AC14" s="36">
        <v>0.28015281309387807</v>
      </c>
      <c r="AD14" s="36">
        <v>0.28632354985372754</v>
      </c>
      <c r="AE14" s="36">
        <v>0.29226000418802323</v>
      </c>
      <c r="AF14" s="36">
        <f t="shared" si="3"/>
        <v>0.29819645852231891</v>
      </c>
      <c r="AG14" t="str">
        <f t="shared" si="2"/>
        <v>BB</v>
      </c>
    </row>
    <row r="15" spans="1:33" x14ac:dyDescent="0.25">
      <c r="A15" t="s">
        <v>275</v>
      </c>
      <c r="B15" s="36">
        <v>2.0937048502594629E-2</v>
      </c>
      <c r="C15" s="36">
        <v>4.3726079174789961E-2</v>
      </c>
      <c r="D15" s="36">
        <v>6.3848727473615322E-2</v>
      </c>
      <c r="E15" s="36">
        <v>8.1591666241105781E-2</v>
      </c>
      <c r="F15" s="36">
        <v>9.987121707479088E-2</v>
      </c>
      <c r="G15" s="36">
        <v>0.11480300518714656</v>
      </c>
      <c r="H15" s="36">
        <v>0.12507357834490865</v>
      </c>
      <c r="I15" s="36">
        <v>0.13534348894571915</v>
      </c>
      <c r="J15" s="36">
        <v>0.14538964887501449</v>
      </c>
      <c r="K15" s="36">
        <v>0.15440531078949324</v>
      </c>
      <c r="L15" s="36">
        <v>0.170529368802565</v>
      </c>
      <c r="M15" s="36">
        <v>0.1842843144834691</v>
      </c>
      <c r="N15" s="36">
        <v>0.19748849818471076</v>
      </c>
      <c r="O15" s="36">
        <v>0.21013914606491413</v>
      </c>
      <c r="P15" s="36">
        <v>0.22224091598230747</v>
      </c>
      <c r="Q15" s="36">
        <v>0.23380407830748456</v>
      </c>
      <c r="R15" s="36">
        <v>0.24484303426648127</v>
      </c>
      <c r="S15" s="36">
        <v>0.25537512155418057</v>
      </c>
      <c r="T15" s="36">
        <v>0.26541966122102389</v>
      </c>
      <c r="U15" s="36">
        <v>0.2749972050072913</v>
      </c>
      <c r="V15" s="36">
        <v>0.2841289476704098</v>
      </c>
      <c r="W15" s="36">
        <v>0.29283627401240075</v>
      </c>
      <c r="X15" s="36">
        <v>0.30114041504986594</v>
      </c>
      <c r="Y15" s="36">
        <v>0.30906219198191759</v>
      </c>
      <c r="Z15" s="36">
        <v>0.31662183027956892</v>
      </c>
      <c r="AA15" s="36">
        <v>0.32383882936303954</v>
      </c>
      <c r="AB15" s="36">
        <v>0.3307318759934052</v>
      </c>
      <c r="AC15" s="36">
        <v>0.33731879173432477</v>
      </c>
      <c r="AD15" s="36">
        <v>0.3436165066930677</v>
      </c>
      <c r="AE15" s="36">
        <v>0.34964105328078954</v>
      </c>
      <c r="AF15" s="36">
        <f t="shared" si="3"/>
        <v>0.35566559986851137</v>
      </c>
      <c r="AG15" t="str">
        <f t="shared" si="2"/>
        <v>BB-</v>
      </c>
    </row>
    <row r="16" spans="1:33" x14ac:dyDescent="0.25">
      <c r="A16" t="s">
        <v>276</v>
      </c>
      <c r="B16" s="36">
        <v>3.6264031767027777E-2</v>
      </c>
      <c r="C16" s="36">
        <v>6.7951306094879441E-2</v>
      </c>
      <c r="D16" s="36">
        <v>9.5464443642646363E-2</v>
      </c>
      <c r="E16" s="36">
        <v>0.11644376325076411</v>
      </c>
      <c r="F16" s="36">
        <v>0.13826901315913123</v>
      </c>
      <c r="G16" s="36">
        <v>0.15534995976825999</v>
      </c>
      <c r="H16" s="36">
        <v>0.16723653906966623</v>
      </c>
      <c r="I16" s="36">
        <v>0.17827318923494917</v>
      </c>
      <c r="J16" s="36">
        <v>0.18839331198320178</v>
      </c>
      <c r="K16" s="36">
        <v>0.19800303027984195</v>
      </c>
      <c r="L16" s="36">
        <v>0.21875560204882274</v>
      </c>
      <c r="M16" s="36">
        <v>0.23431598479649357</v>
      </c>
      <c r="N16" s="36">
        <v>0.24901305191160059</v>
      </c>
      <c r="O16" s="36">
        <v>0.26288550130442057</v>
      </c>
      <c r="P16" s="36">
        <v>0.27597546287074903</v>
      </c>
      <c r="Q16" s="36">
        <v>0.28832654765222626</v>
      </c>
      <c r="R16" s="36">
        <v>0.29998248073651096</v>
      </c>
      <c r="S16" s="36">
        <v>0.31098616354531589</v>
      </c>
      <c r="T16" s="36">
        <v>0.32137905040614534</v>
      </c>
      <c r="U16" s="36">
        <v>0.33120075371197055</v>
      </c>
      <c r="V16" s="36">
        <v>0.34048881399701053</v>
      </c>
      <c r="W16" s="36">
        <v>0.34927858773843018</v>
      </c>
      <c r="X16" s="36">
        <v>0.35760321801643241</v>
      </c>
      <c r="Y16" s="36">
        <v>0.36549366236795461</v>
      </c>
      <c r="Z16" s="36">
        <v>0.37297875903251426</v>
      </c>
      <c r="AA16" s="36">
        <v>0.38008531789895772</v>
      </c>
      <c r="AB16" s="36">
        <v>0.38683822625918329</v>
      </c>
      <c r="AC16" s="36">
        <v>0.39326056228984352</v>
      </c>
      <c r="AD16" s="36">
        <v>0.39937371126356008</v>
      </c>
      <c r="AE16" s="36">
        <v>0.40519748102332226</v>
      </c>
      <c r="AF16" s="36">
        <f t="shared" si="3"/>
        <v>0.41102125078308444</v>
      </c>
      <c r="AG16" t="str">
        <f t="shared" si="2"/>
        <v>B+</v>
      </c>
    </row>
    <row r="17" spans="1:33" x14ac:dyDescent="0.25">
      <c r="A17" t="s">
        <v>277</v>
      </c>
      <c r="B17" s="36">
        <v>5.7886786056923219E-2</v>
      </c>
      <c r="C17" s="36">
        <v>9.8891152283710398E-2</v>
      </c>
      <c r="D17" s="36">
        <v>0.13418979096786759</v>
      </c>
      <c r="E17" s="36">
        <v>0.15846150952202873</v>
      </c>
      <c r="F17" s="36">
        <v>0.18271431252094072</v>
      </c>
      <c r="G17" s="36">
        <v>0.2012979135510351</v>
      </c>
      <c r="H17" s="36">
        <v>0.21431549174056455</v>
      </c>
      <c r="I17" s="36">
        <v>0.22556251904959743</v>
      </c>
      <c r="J17" s="36">
        <v>0.2359899997881266</v>
      </c>
      <c r="K17" s="36">
        <v>0.24573156085452272</v>
      </c>
      <c r="L17" s="36">
        <v>0.26684196300525281</v>
      </c>
      <c r="M17" s="36">
        <v>0.28421520479700252</v>
      </c>
      <c r="N17" s="36">
        <v>0.30041284367256449</v>
      </c>
      <c r="O17" s="36">
        <v>0.31551475063895196</v>
      </c>
      <c r="P17" s="36">
        <v>0.32960032998658628</v>
      </c>
      <c r="Q17" s="36">
        <v>0.34274641030534608</v>
      </c>
      <c r="R17" s="36">
        <v>0.35502597092626276</v>
      </c>
      <c r="S17" s="36">
        <v>0.36650744478527536</v>
      </c>
      <c r="T17" s="36">
        <v>0.37725441267034399</v>
      </c>
      <c r="U17" s="36">
        <v>0.38732555744117619</v>
      </c>
      <c r="V17" s="36">
        <v>0.39677478558024948</v>
      </c>
      <c r="W17" s="36">
        <v>0.40565145136465613</v>
      </c>
      <c r="X17" s="36">
        <v>0.41400063898781131</v>
      </c>
      <c r="Y17" s="36">
        <v>0.42186347226674037</v>
      </c>
      <c r="Z17" s="36">
        <v>0.42927743172334809</v>
      </c>
      <c r="AA17" s="36">
        <v>0.43627666597992426</v>
      </c>
      <c r="AB17" s="36">
        <v>0.4428922894009289</v>
      </c>
      <c r="AC17" s="36">
        <v>0.44915266135663851</v>
      </c>
      <c r="AD17" s="36">
        <v>0.45508364482364178</v>
      </c>
      <c r="AE17" s="36">
        <v>0.46070884359401643</v>
      </c>
      <c r="AF17" s="36">
        <f t="shared" si="3"/>
        <v>0.46633404236439108</v>
      </c>
      <c r="AG17" t="str">
        <f t="shared" si="2"/>
        <v>B</v>
      </c>
    </row>
    <row r="18" spans="1:33" x14ac:dyDescent="0.25">
      <c r="A18" t="s">
        <v>278</v>
      </c>
      <c r="B18" s="36">
        <v>9.1213595477867226E-2</v>
      </c>
      <c r="C18" s="36">
        <v>0.13922596740550952</v>
      </c>
      <c r="D18" s="36">
        <v>0.18083597540312601</v>
      </c>
      <c r="E18" s="36">
        <v>0.20876905901018952</v>
      </c>
      <c r="F18" s="36">
        <v>0.23668660714117307</v>
      </c>
      <c r="G18" s="36">
        <v>0.25717309346041628</v>
      </c>
      <c r="H18" s="36">
        <v>0.27282045377867109</v>
      </c>
      <c r="I18" s="36">
        <v>0.28624936681152674</v>
      </c>
      <c r="J18" s="36">
        <v>0.29760907244235685</v>
      </c>
      <c r="K18" s="36">
        <v>0.3081038785864274</v>
      </c>
      <c r="L18" s="36">
        <v>0.33071881488759197</v>
      </c>
      <c r="M18" s="36">
        <v>0.35157340448264929</v>
      </c>
      <c r="N18" s="36">
        <v>0.37090191615052265</v>
      </c>
      <c r="O18" s="36">
        <v>0.38882035463462095</v>
      </c>
      <c r="P18" s="36">
        <v>0.40544176358675049</v>
      </c>
      <c r="Q18" s="36">
        <v>0.42087374331595162</v>
      </c>
      <c r="R18" s="36">
        <v>0.4352170704962956</v>
      </c>
      <c r="S18" s="36">
        <v>0.44856506130571511</v>
      </c>
      <c r="T18" s="36">
        <v>0.46100342493720686</v>
      </c>
      <c r="U18" s="36">
        <v>0.47261043029511945</v>
      </c>
      <c r="V18" s="36">
        <v>0.48345726305125852</v>
      </c>
      <c r="W18" s="36">
        <v>0.49360848900358834</v>
      </c>
      <c r="X18" s="36">
        <v>0.50312256717320736</v>
      </c>
      <c r="Y18" s="36">
        <v>0.51205237544064675</v>
      </c>
      <c r="Z18" s="36">
        <v>0.52044572505000986</v>
      </c>
      <c r="AA18" s="36">
        <v>0.52834584966098774</v>
      </c>
      <c r="AB18" s="36">
        <v>0.53579186100776099</v>
      </c>
      <c r="AC18" s="36">
        <v>0.54281916749924064</v>
      </c>
      <c r="AD18" s="36">
        <v>0.5494598548924754</v>
      </c>
      <c r="AE18" s="36">
        <v>0.55574302993896285</v>
      </c>
      <c r="AF18" s="36">
        <f t="shared" si="3"/>
        <v>0.56202620498545031</v>
      </c>
      <c r="AG18" t="str">
        <f t="shared" si="2"/>
        <v>B-</v>
      </c>
    </row>
    <row r="19" spans="1:33" x14ac:dyDescent="0.25">
      <c r="A19" t="s">
        <v>279</v>
      </c>
      <c r="B19" s="36">
        <v>0.14211762234012576</v>
      </c>
      <c r="C19" s="36">
        <v>0.19644820485643197</v>
      </c>
      <c r="D19" s="36">
        <v>0.24541189348524062</v>
      </c>
      <c r="E19" s="36">
        <v>0.27942644290535362</v>
      </c>
      <c r="F19" s="36">
        <v>0.31341451589668956</v>
      </c>
      <c r="G19" s="36">
        <v>0.33731680218399346</v>
      </c>
      <c r="H19" s="36">
        <v>0.35818248152217991</v>
      </c>
      <c r="I19" s="36">
        <v>0.37713972191032147</v>
      </c>
      <c r="J19" s="36">
        <v>0.39278416809299838</v>
      </c>
      <c r="K19" s="36">
        <v>0.40801102926269039</v>
      </c>
      <c r="L19" s="36">
        <v>0.43276740392722252</v>
      </c>
      <c r="M19" s="36">
        <v>0.4555168748937059</v>
      </c>
      <c r="N19" s="36">
        <v>0.4763018510438386</v>
      </c>
      <c r="O19" s="36">
        <v>0.49533002215957739</v>
      </c>
      <c r="P19" s="36">
        <v>0.51278745339013287</v>
      </c>
      <c r="Q19" s="36">
        <v>0.5288396940878336</v>
      </c>
      <c r="R19" s="36">
        <v>0.54363339327517635</v>
      </c>
      <c r="S19" s="36">
        <v>0.55729811980591792</v>
      </c>
      <c r="T19" s="36">
        <v>0.56994820610280128</v>
      </c>
      <c r="U19" s="36">
        <v>0.58168451205895522</v>
      </c>
      <c r="V19" s="36">
        <v>0.59259605497439227</v>
      </c>
      <c r="W19" s="36">
        <v>0.60276148204108082</v>
      </c>
      <c r="X19" s="36">
        <v>0.61225038039117829</v>
      </c>
      <c r="Y19" s="36">
        <v>0.62112443039590437</v>
      </c>
      <c r="Z19" s="36">
        <v>0.62943841359689834</v>
      </c>
      <c r="AA19" s="36">
        <v>0.63724108924033862</v>
      </c>
      <c r="AB19" s="36">
        <v>0.64457595408794899</v>
      </c>
      <c r="AC19" s="36">
        <v>0.65148189978706594</v>
      </c>
      <c r="AD19" s="36">
        <v>0.65799378109678908</v>
      </c>
      <c r="AE19" s="36">
        <v>0.66414290700335099</v>
      </c>
      <c r="AF19" s="36">
        <f t="shared" si="3"/>
        <v>0.6702920329099129</v>
      </c>
      <c r="AG19" t="str">
        <f t="shared" si="2"/>
        <v>CCC+</v>
      </c>
    </row>
    <row r="20" spans="1:33" x14ac:dyDescent="0.25">
      <c r="A20" t="s">
        <v>280</v>
      </c>
      <c r="B20" s="36">
        <v>0.21258447406117267</v>
      </c>
      <c r="C20" s="36">
        <v>0.27479253393764236</v>
      </c>
      <c r="D20" s="36">
        <v>0.33420140660351733</v>
      </c>
      <c r="E20" s="36">
        <v>0.37751445032612879</v>
      </c>
      <c r="F20" s="36">
        <v>0.42074869960224731</v>
      </c>
      <c r="G20" s="36">
        <v>0.45014063638957741</v>
      </c>
      <c r="H20" s="36">
        <v>0.47817804844091477</v>
      </c>
      <c r="I20" s="36">
        <v>0.50536442842613194</v>
      </c>
      <c r="J20" s="36">
        <v>0.53105882809057714</v>
      </c>
      <c r="K20" s="36">
        <v>0.55682133579811754</v>
      </c>
      <c r="L20" s="36">
        <v>0.57705017376957668</v>
      </c>
      <c r="M20" s="36">
        <v>0.59503909487109008</v>
      </c>
      <c r="N20" s="36">
        <v>0.61086021800307044</v>
      </c>
      <c r="O20" s="36">
        <v>0.62486876979744455</v>
      </c>
      <c r="P20" s="36">
        <v>0.6373523091761244</v>
      </c>
      <c r="Q20" s="36">
        <v>0.64854442228064568</v>
      </c>
      <c r="R20" s="36">
        <v>0.65863564347355208</v>
      </c>
      <c r="S20" s="36">
        <v>0.66778212997012754</v>
      </c>
      <c r="T20" s="36">
        <v>0.67611253581534081</v>
      </c>
      <c r="U20" s="36">
        <v>0.68373345278886688</v>
      </c>
      <c r="V20" s="36">
        <v>0.69073371644999215</v>
      </c>
      <c r="W20" s="36">
        <v>0.69718781648070793</v>
      </c>
      <c r="X20" s="36">
        <v>0.70315860155089716</v>
      </c>
      <c r="Y20" s="36">
        <v>0.70869942911589001</v>
      </c>
      <c r="Z20" s="36">
        <v>0.71385587857970223</v>
      </c>
      <c r="AA20" s="36">
        <v>0.71866712081298845</v>
      </c>
      <c r="AB20" s="36">
        <v>0.72316701690579321</v>
      </c>
      <c r="AC20" s="36">
        <v>0.72738500322124966</v>
      </c>
      <c r="AD20" s="36">
        <v>0.73134680742397196</v>
      </c>
      <c r="AE20" s="36">
        <v>0.73507503046930267</v>
      </c>
      <c r="AF20" s="36">
        <f t="shared" si="3"/>
        <v>0.73880325351463338</v>
      </c>
      <c r="AG20" t="str">
        <f t="shared" si="2"/>
        <v>CCC</v>
      </c>
    </row>
    <row r="21" spans="1:33" x14ac:dyDescent="0.25">
      <c r="A21" t="s">
        <v>281</v>
      </c>
      <c r="B21" s="36">
        <v>0.36410782380142892</v>
      </c>
      <c r="C21" s="36">
        <v>0.43043989891576029</v>
      </c>
      <c r="D21" s="36">
        <v>0.49351283867548729</v>
      </c>
      <c r="E21" s="36">
        <v>0.53913802599871707</v>
      </c>
      <c r="F21" s="36">
        <v>0.58341953264085011</v>
      </c>
      <c r="G21" s="36">
        <v>0.61235392760090546</v>
      </c>
      <c r="H21" s="36">
        <v>0.64083940979365006</v>
      </c>
      <c r="I21" s="36">
        <v>0.6689087847515286</v>
      </c>
      <c r="J21" s="36">
        <v>0.69659077929934254</v>
      </c>
      <c r="K21" s="36">
        <v>0.7242582412371984</v>
      </c>
      <c r="L21" s="36">
        <v>0.73751323754078879</v>
      </c>
      <c r="M21" s="36">
        <v>0.74890117431852787</v>
      </c>
      <c r="N21" s="36">
        <v>0.75854041020160523</v>
      </c>
      <c r="O21" s="36">
        <v>0.7667908605018835</v>
      </c>
      <c r="P21" s="36">
        <v>0.77392787224365145</v>
      </c>
      <c r="Q21" s="36">
        <v>0.78016358930132601</v>
      </c>
      <c r="R21" s="36">
        <v>0.78566261164714246</v>
      </c>
      <c r="S21" s="36">
        <v>0.79055356320012904</v>
      </c>
      <c r="T21" s="36">
        <v>0.79493769309201912</v>
      </c>
      <c r="U21" s="36">
        <v>0.79889530699704059</v>
      </c>
      <c r="V21" s="36">
        <v>0.80249059999481864</v>
      </c>
      <c r="W21" s="36">
        <v>0.80577530503429007</v>
      </c>
      <c r="X21" s="36">
        <v>0.80879145942307884</v>
      </c>
      <c r="Y21" s="36">
        <v>0.81157351165983838</v>
      </c>
      <c r="Z21" s="36">
        <v>0.81414993291788562</v>
      </c>
      <c r="AA21" s="36">
        <v>0.81654445516977359</v>
      </c>
      <c r="AB21" s="36">
        <v>0.81877702688365961</v>
      </c>
      <c r="AC21" s="36">
        <v>0.82086455431316407</v>
      </c>
      <c r="AD21" s="36">
        <v>0.82282147943274053</v>
      </c>
      <c r="AE21" s="36">
        <v>0.82466023295421886</v>
      </c>
      <c r="AF21" s="36">
        <f t="shared" si="3"/>
        <v>0.82649898647569719</v>
      </c>
      <c r="AG21" t="str">
        <f t="shared" si="2"/>
        <v>CCC-</v>
      </c>
    </row>
    <row r="22" spans="1:33" x14ac:dyDescent="0.25">
      <c r="A22" t="s">
        <v>282</v>
      </c>
      <c r="B22" s="36">
        <v>0.71407419177511133</v>
      </c>
      <c r="C22" s="36">
        <v>0.75504153034754917</v>
      </c>
      <c r="D22" s="36">
        <v>0.79025299736213583</v>
      </c>
      <c r="E22" s="36">
        <v>0.8138917658185072</v>
      </c>
      <c r="F22" s="36">
        <v>0.83559081025849435</v>
      </c>
      <c r="G22" s="36">
        <v>0.84918210949877992</v>
      </c>
      <c r="H22" s="36">
        <v>0.86215047257768485</v>
      </c>
      <c r="I22" s="36">
        <v>0.87455870416966164</v>
      </c>
      <c r="J22" s="36">
        <v>0.88646019779518903</v>
      </c>
      <c r="K22" s="36">
        <v>0.89833178725902829</v>
      </c>
      <c r="L22" s="36">
        <v>0.90348984023822176</v>
      </c>
      <c r="M22" s="36">
        <v>0.90811636870719503</v>
      </c>
      <c r="N22" s="36">
        <v>0.91199594512919846</v>
      </c>
      <c r="O22" s="36">
        <v>0.91529054465840198</v>
      </c>
      <c r="P22" s="36">
        <v>0.91812151055369562</v>
      </c>
      <c r="Q22" s="36">
        <v>0.92058075701646325</v>
      </c>
      <c r="R22" s="36">
        <v>0.92273861494756004</v>
      </c>
      <c r="S22" s="36">
        <v>0.92464941696507619</v>
      </c>
      <c r="T22" s="36">
        <v>0.92635552633959806</v>
      </c>
      <c r="U22" s="36">
        <v>0.92789027566721727</v>
      </c>
      <c r="V22" s="36">
        <v>0.9292801304798366</v>
      </c>
      <c r="W22" s="36">
        <v>0.93054629522792864</v>
      </c>
      <c r="X22" s="36">
        <v>0.93170591404033465</v>
      </c>
      <c r="Y22" s="36">
        <v>0.93277297450416485</v>
      </c>
      <c r="Z22" s="36">
        <v>0.93375899219216973</v>
      </c>
      <c r="AA22" s="36">
        <v>0.9346735322692904</v>
      </c>
      <c r="AB22" s="36">
        <v>0.9355246093249685</v>
      </c>
      <c r="AC22" s="36">
        <v>0.93631899568979404</v>
      </c>
      <c r="AD22" s="36">
        <v>0.93706246062061438</v>
      </c>
      <c r="AE22" s="36">
        <v>0.93775995700130399</v>
      </c>
      <c r="AF22" s="36">
        <f t="shared" si="3"/>
        <v>0.9384574533819936</v>
      </c>
      <c r="AG22" t="str">
        <f t="shared" si="2"/>
        <v>CC</v>
      </c>
    </row>
    <row r="23" spans="1:33" x14ac:dyDescent="0.25">
      <c r="A23" t="s">
        <v>283</v>
      </c>
      <c r="B23" s="36">
        <f>(B22+B24)/2</f>
        <v>0.85703709588755572</v>
      </c>
      <c r="C23" s="36">
        <f t="shared" ref="C23:AF23" si="4">(C22+C24)/2</f>
        <v>0.87752076517377464</v>
      </c>
      <c r="D23" s="36">
        <f t="shared" si="4"/>
        <v>0.89512649868106786</v>
      </c>
      <c r="E23" s="36">
        <f t="shared" si="4"/>
        <v>0.9069458829092536</v>
      </c>
      <c r="F23" s="36">
        <f t="shared" si="4"/>
        <v>0.91779540512924718</v>
      </c>
      <c r="G23" s="36">
        <f t="shared" si="4"/>
        <v>0.92459105474938996</v>
      </c>
      <c r="H23" s="36">
        <f t="shared" si="4"/>
        <v>0.93107523628884237</v>
      </c>
      <c r="I23" s="36">
        <f t="shared" si="4"/>
        <v>0.93727935208483082</v>
      </c>
      <c r="J23" s="36">
        <f t="shared" si="4"/>
        <v>0.94323009889759457</v>
      </c>
      <c r="K23" s="36">
        <f t="shared" si="4"/>
        <v>0.9491658936295142</v>
      </c>
      <c r="L23" s="36">
        <f t="shared" si="4"/>
        <v>0.95174492011911083</v>
      </c>
      <c r="M23" s="36">
        <f t="shared" si="4"/>
        <v>0.95405818435359757</v>
      </c>
      <c r="N23" s="36">
        <f t="shared" si="4"/>
        <v>0.95599797256459929</v>
      </c>
      <c r="O23" s="36">
        <f t="shared" si="4"/>
        <v>0.95764527232920105</v>
      </c>
      <c r="P23" s="36">
        <f t="shared" si="4"/>
        <v>0.95906075527684775</v>
      </c>
      <c r="Q23" s="36">
        <f t="shared" si="4"/>
        <v>0.96029037850823162</v>
      </c>
      <c r="R23" s="36">
        <f t="shared" si="4"/>
        <v>0.96136930747378002</v>
      </c>
      <c r="S23" s="36">
        <f t="shared" si="4"/>
        <v>0.96232470848253815</v>
      </c>
      <c r="T23" s="36">
        <f t="shared" si="4"/>
        <v>0.96317776316979908</v>
      </c>
      <c r="U23" s="36">
        <f t="shared" si="4"/>
        <v>0.96394513783360858</v>
      </c>
      <c r="V23" s="36">
        <f t="shared" si="4"/>
        <v>0.9646400652399183</v>
      </c>
      <c r="W23" s="36">
        <f t="shared" si="4"/>
        <v>0.96527314761396432</v>
      </c>
      <c r="X23" s="36">
        <f t="shared" si="4"/>
        <v>0.96585295702016727</v>
      </c>
      <c r="Y23" s="36">
        <f t="shared" si="4"/>
        <v>0.96638648725208243</v>
      </c>
      <c r="Z23" s="36">
        <f t="shared" si="4"/>
        <v>0.96687949609608492</v>
      </c>
      <c r="AA23" s="36">
        <f t="shared" si="4"/>
        <v>0.96733676613464525</v>
      </c>
      <c r="AB23" s="36">
        <f t="shared" si="4"/>
        <v>0.96776230466248425</v>
      </c>
      <c r="AC23" s="36">
        <f t="shared" si="4"/>
        <v>0.96815949784489708</v>
      </c>
      <c r="AD23" s="36">
        <f t="shared" si="4"/>
        <v>0.96853123031030719</v>
      </c>
      <c r="AE23" s="36">
        <f t="shared" si="4"/>
        <v>0.96887997850065199</v>
      </c>
      <c r="AF23" s="36">
        <f t="shared" si="4"/>
        <v>0.9692287266909968</v>
      </c>
      <c r="AG23" t="str">
        <f t="shared" si="2"/>
        <v>C</v>
      </c>
    </row>
    <row r="24" spans="1:33" x14ac:dyDescent="0.25">
      <c r="A24" t="s">
        <v>284</v>
      </c>
      <c r="B24" s="36">
        <v>1</v>
      </c>
      <c r="C24" s="36">
        <f>MIN(1,ROUND((1+$B24)^C$26-1,5))</f>
        <v>1</v>
      </c>
      <c r="D24" s="36">
        <f t="shared" ref="D24:AF24" si="5">MIN(1,ROUND((1+$B24)^D$26-1,5))</f>
        <v>1</v>
      </c>
      <c r="E24" s="36">
        <f t="shared" si="5"/>
        <v>1</v>
      </c>
      <c r="F24" s="36">
        <f t="shared" si="5"/>
        <v>1</v>
      </c>
      <c r="G24" s="36">
        <f t="shared" si="5"/>
        <v>1</v>
      </c>
      <c r="H24" s="36">
        <f t="shared" si="5"/>
        <v>1</v>
      </c>
      <c r="I24" s="36">
        <f t="shared" si="5"/>
        <v>1</v>
      </c>
      <c r="J24" s="36">
        <f t="shared" si="5"/>
        <v>1</v>
      </c>
      <c r="K24" s="36">
        <f t="shared" si="5"/>
        <v>1</v>
      </c>
      <c r="L24" s="36">
        <f t="shared" si="5"/>
        <v>1</v>
      </c>
      <c r="M24" s="36">
        <f t="shared" si="5"/>
        <v>1</v>
      </c>
      <c r="N24" s="36">
        <f t="shared" si="5"/>
        <v>1</v>
      </c>
      <c r="O24" s="36">
        <f t="shared" si="5"/>
        <v>1</v>
      </c>
      <c r="P24" s="36">
        <f t="shared" si="5"/>
        <v>1</v>
      </c>
      <c r="Q24" s="36">
        <f t="shared" si="5"/>
        <v>1</v>
      </c>
      <c r="R24" s="36">
        <f t="shared" si="5"/>
        <v>1</v>
      </c>
      <c r="S24" s="36">
        <f t="shared" si="5"/>
        <v>1</v>
      </c>
      <c r="T24" s="36">
        <f t="shared" si="5"/>
        <v>1</v>
      </c>
      <c r="U24" s="36">
        <f t="shared" si="5"/>
        <v>1</v>
      </c>
      <c r="V24" s="36">
        <f t="shared" si="5"/>
        <v>1</v>
      </c>
      <c r="W24" s="36">
        <f t="shared" si="5"/>
        <v>1</v>
      </c>
      <c r="X24" s="36">
        <f t="shared" si="5"/>
        <v>1</v>
      </c>
      <c r="Y24" s="36">
        <f t="shared" si="5"/>
        <v>1</v>
      </c>
      <c r="Z24" s="36">
        <f t="shared" si="5"/>
        <v>1</v>
      </c>
      <c r="AA24" s="36">
        <f t="shared" si="5"/>
        <v>1</v>
      </c>
      <c r="AB24" s="36">
        <f t="shared" si="5"/>
        <v>1</v>
      </c>
      <c r="AC24" s="36">
        <f t="shared" si="5"/>
        <v>1</v>
      </c>
      <c r="AD24" s="36">
        <f t="shared" si="5"/>
        <v>1</v>
      </c>
      <c r="AE24" s="36">
        <f t="shared" si="5"/>
        <v>1</v>
      </c>
      <c r="AF24" s="36">
        <f t="shared" si="5"/>
        <v>1</v>
      </c>
      <c r="AG24" t="s">
        <v>284</v>
      </c>
    </row>
    <row r="26" spans="1:33" x14ac:dyDescent="0.25">
      <c r="B26" s="37">
        <v>1</v>
      </c>
      <c r="C26">
        <v>2</v>
      </c>
      <c r="D26">
        <v>3</v>
      </c>
      <c r="E26">
        <v>4</v>
      </c>
      <c r="F26">
        <v>5</v>
      </c>
      <c r="G26">
        <v>6</v>
      </c>
      <c r="H26">
        <v>7</v>
      </c>
      <c r="I26">
        <v>8</v>
      </c>
      <c r="J26">
        <v>9</v>
      </c>
      <c r="K26">
        <v>10</v>
      </c>
      <c r="L26">
        <v>11</v>
      </c>
      <c r="M26">
        <v>12</v>
      </c>
      <c r="N26">
        <v>13</v>
      </c>
      <c r="O26">
        <v>14</v>
      </c>
      <c r="P26">
        <v>15</v>
      </c>
      <c r="Q26">
        <v>16</v>
      </c>
      <c r="R26">
        <v>17</v>
      </c>
      <c r="S26">
        <v>18</v>
      </c>
      <c r="T26">
        <v>19</v>
      </c>
      <c r="U26">
        <v>20</v>
      </c>
      <c r="V26">
        <v>21</v>
      </c>
      <c r="W26">
        <v>22</v>
      </c>
      <c r="X26">
        <v>23</v>
      </c>
      <c r="Y26">
        <v>24</v>
      </c>
      <c r="Z26">
        <v>25</v>
      </c>
      <c r="AA26">
        <v>26</v>
      </c>
      <c r="AB26">
        <v>27</v>
      </c>
      <c r="AC26">
        <v>28</v>
      </c>
      <c r="AD26">
        <v>29</v>
      </c>
      <c r="AE26">
        <v>30</v>
      </c>
      <c r="AF26">
        <v>31</v>
      </c>
    </row>
    <row r="28" spans="1:33" x14ac:dyDescent="0.25">
      <c r="B28" s="64" t="s">
        <v>323</v>
      </c>
    </row>
  </sheetData>
  <mergeCells count="1">
    <mergeCell ref="B1:AF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documentation</vt:lpstr>
      <vt:lpstr>model</vt:lpstr>
      <vt:lpstr>series</vt:lpstr>
      <vt:lpstr>adjustments</vt:lpstr>
      <vt:lpstr>ratingmap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dc:creator>
  <cp:lastModifiedBy>Richard</cp:lastModifiedBy>
  <dcterms:created xsi:type="dcterms:W3CDTF">2012-01-08T23:36:44Z</dcterms:created>
  <dcterms:modified xsi:type="dcterms:W3CDTF">2012-05-12T12:45:08Z</dcterms:modified>
</cp:coreProperties>
</file>