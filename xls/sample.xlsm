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30" yWindow="-15" windowWidth="20730" windowHeight="11760" activeTab="1"/>
  </bookViews>
  <sheets>
    <sheet name="documentation" sheetId="12" r:id="rId1"/>
    <sheet name="model" sheetId="10" r:id="rId2"/>
    <sheet name="series" sheetId="8" r:id="rId3"/>
    <sheet name="adjustments" sheetId="13" r:id="rId4"/>
    <sheet name="ratingmap" sheetId="14" r:id="rId5"/>
  </sheets>
  <functionGroups builtInGroupCount="17"/>
  <definedNames>
    <definedName name="DefaultRatios">#REF!</definedName>
    <definedName name="SeriesTypes">#REF!</definedName>
    <definedName name="xdefaultratios">#REF!</definedName>
  </definedNames>
  <calcPr calcId="145621"/>
</workbook>
</file>

<file path=xl/calcChain.xml><?xml version="1.0" encoding="utf-8"?>
<calcChain xmlns="http://schemas.openxmlformats.org/spreadsheetml/2006/main">
  <c r="K41" i="8" l="1"/>
  <c r="AP13" i="8"/>
  <c r="AO13" i="8"/>
  <c r="AN13" i="8"/>
  <c r="AM13" i="8"/>
  <c r="AL13" i="8"/>
  <c r="AK13" i="8"/>
  <c r="AJ13" i="8"/>
  <c r="AI13" i="8"/>
  <c r="AH13" i="8"/>
  <c r="AG13" i="8"/>
  <c r="AF13" i="8"/>
  <c r="AE13" i="8"/>
  <c r="AD13" i="8"/>
  <c r="AC13" i="8"/>
  <c r="AB13" i="8"/>
  <c r="AA13" i="8"/>
  <c r="Z13" i="8"/>
  <c r="Y13" i="8"/>
  <c r="X13" i="8"/>
  <c r="W13" i="8"/>
  <c r="V13" i="8"/>
  <c r="U13" i="8"/>
  <c r="T13" i="8"/>
  <c r="S13" i="8"/>
  <c r="R13" i="8"/>
  <c r="Q13" i="8"/>
  <c r="P13" i="8"/>
  <c r="O13" i="8"/>
  <c r="N13" i="8"/>
  <c r="M13" i="8"/>
  <c r="L13" i="8"/>
  <c r="AP12" i="8"/>
  <c r="AO12" i="8"/>
  <c r="AN12" i="8"/>
  <c r="AM12" i="8"/>
  <c r="AL12" i="8"/>
  <c r="AK12" i="8"/>
  <c r="AJ12" i="8"/>
  <c r="AI12" i="8"/>
  <c r="AH12" i="8"/>
  <c r="AG12" i="8"/>
  <c r="AF12" i="8"/>
  <c r="AE12" i="8"/>
  <c r="AD12" i="8"/>
  <c r="AC12" i="8"/>
  <c r="AB12" i="8"/>
  <c r="AA12" i="8"/>
  <c r="Z12" i="8"/>
  <c r="Y12" i="8"/>
  <c r="X12" i="8"/>
  <c r="W12" i="8"/>
  <c r="V12" i="8"/>
  <c r="U12" i="8"/>
  <c r="T12" i="8"/>
  <c r="S12" i="8"/>
  <c r="R12" i="8"/>
  <c r="Q12" i="8"/>
  <c r="P12" i="8"/>
  <c r="O12" i="8"/>
  <c r="N12" i="8"/>
  <c r="M12" i="8"/>
  <c r="L12" i="8"/>
  <c r="K12" i="8"/>
  <c r="K17" i="8" s="1"/>
  <c r="K13" i="8"/>
  <c r="K36" i="8"/>
  <c r="K42" i="8" s="1"/>
  <c r="K25" i="8"/>
  <c r="K16" i="8" l="1"/>
  <c r="K19" i="8"/>
  <c r="B23" i="14"/>
  <c r="AF22" i="14"/>
  <c r="AF21" i="14"/>
  <c r="AF20" i="14"/>
  <c r="AF19" i="14"/>
  <c r="AF18" i="14"/>
  <c r="AF17" i="14"/>
  <c r="AF16" i="14"/>
  <c r="AF15" i="14"/>
  <c r="AF14" i="14"/>
  <c r="AF13" i="14"/>
  <c r="AF12" i="14"/>
  <c r="AF11" i="14"/>
  <c r="AF10" i="14"/>
  <c r="AF9" i="14"/>
  <c r="AF8" i="14"/>
  <c r="AF7" i="14"/>
  <c r="AF6" i="14"/>
  <c r="AF5" i="14"/>
  <c r="AF4" i="14"/>
  <c r="AF24" i="14" l="1"/>
  <c r="AF23" i="14" s="1"/>
  <c r="AE24" i="14"/>
  <c r="AE23" i="14" s="1"/>
  <c r="AD24" i="14"/>
  <c r="AD23" i="14" s="1"/>
  <c r="AC24" i="14"/>
  <c r="AC23" i="14" s="1"/>
  <c r="AB24" i="14"/>
  <c r="AB23" i="14" s="1"/>
  <c r="AA24" i="14"/>
  <c r="AA23" i="14" s="1"/>
  <c r="Z24" i="14"/>
  <c r="Z23" i="14" s="1"/>
  <c r="Y24" i="14"/>
  <c r="Y23" i="14" s="1"/>
  <c r="X24" i="14"/>
  <c r="X23" i="14" s="1"/>
  <c r="W24" i="14"/>
  <c r="W23" i="14" s="1"/>
  <c r="V24" i="14"/>
  <c r="V23" i="14" s="1"/>
  <c r="U24" i="14"/>
  <c r="U23" i="14" s="1"/>
  <c r="T24" i="14"/>
  <c r="T23" i="14" s="1"/>
  <c r="S24" i="14"/>
  <c r="S23" i="14" s="1"/>
  <c r="R24" i="14"/>
  <c r="R23" i="14" s="1"/>
  <c r="Q24" i="14"/>
  <c r="Q23" i="14" s="1"/>
  <c r="P24" i="14"/>
  <c r="P23" i="14" s="1"/>
  <c r="O24" i="14"/>
  <c r="O23" i="14" s="1"/>
  <c r="N24" i="14"/>
  <c r="N23" i="14" s="1"/>
  <c r="M24" i="14"/>
  <c r="M23" i="14" s="1"/>
  <c r="L24" i="14"/>
  <c r="L23" i="14" s="1"/>
  <c r="K24" i="14"/>
  <c r="K23" i="14" s="1"/>
  <c r="J24" i="14"/>
  <c r="J23" i="14" s="1"/>
  <c r="I24" i="14"/>
  <c r="I23" i="14" s="1"/>
  <c r="H24" i="14"/>
  <c r="H23" i="14" s="1"/>
  <c r="G24" i="14"/>
  <c r="G23" i="14" s="1"/>
  <c r="F24" i="14"/>
  <c r="F23" i="14" s="1"/>
  <c r="E24" i="14"/>
  <c r="E23" i="14" s="1"/>
  <c r="D24" i="14"/>
  <c r="D23" i="14" s="1"/>
  <c r="C24" i="14"/>
  <c r="C23" i="14" s="1"/>
  <c r="AG23" i="14"/>
  <c r="AG22" i="14"/>
  <c r="AG21" i="14"/>
  <c r="AG20" i="14"/>
  <c r="AG19" i="14"/>
  <c r="AG18" i="14"/>
  <c r="AG17" i="14"/>
  <c r="AG16" i="14"/>
  <c r="AG15" i="14"/>
  <c r="AG14" i="14"/>
  <c r="AG13" i="14"/>
  <c r="AG12" i="14"/>
  <c r="AG11" i="14"/>
  <c r="AG10" i="14"/>
  <c r="AG9" i="14"/>
  <c r="AG8" i="14"/>
  <c r="AG7" i="14"/>
  <c r="AG6" i="14"/>
  <c r="AG5" i="14"/>
  <c r="AG4" i="14"/>
  <c r="AG3" i="14"/>
  <c r="AF3" i="14"/>
  <c r="AE3" i="14"/>
  <c r="AD3" i="14"/>
  <c r="AC3" i="14"/>
  <c r="AB3" i="14"/>
  <c r="AA3" i="14"/>
  <c r="Z3" i="14"/>
  <c r="Y3" i="14"/>
  <c r="X3" i="14"/>
  <c r="W3" i="14"/>
  <c r="V3" i="14"/>
  <c r="U3" i="14"/>
  <c r="T3" i="14"/>
  <c r="S3" i="14"/>
  <c r="R3" i="14"/>
  <c r="Q3" i="14"/>
  <c r="P3" i="14"/>
  <c r="O3" i="14"/>
  <c r="N3" i="14"/>
  <c r="M3" i="14"/>
  <c r="L3" i="14"/>
  <c r="K3" i="14"/>
  <c r="J3" i="14"/>
  <c r="I3" i="14"/>
  <c r="H3" i="14"/>
  <c r="G3" i="14"/>
  <c r="F3" i="14"/>
  <c r="E3" i="14"/>
  <c r="D3" i="14"/>
  <c r="C3" i="14"/>
  <c r="E14" i="10" l="1"/>
</calcChain>
</file>

<file path=xl/sharedStrings.xml><?xml version="1.0" encoding="utf-8"?>
<sst xmlns="http://schemas.openxmlformats.org/spreadsheetml/2006/main" count="557" uniqueCount="351">
  <si>
    <t>Debt/GDP</t>
  </si>
  <si>
    <t>Interest Expense/Total Revenue</t>
  </si>
  <si>
    <t>Government Entity</t>
  </si>
  <si>
    <t>Model Description</t>
  </si>
  <si>
    <t>Initial Year</t>
  </si>
  <si>
    <t>Number of Trials</t>
  </si>
  <si>
    <t>Parameter Name</t>
  </si>
  <si>
    <t>Parameter Value</t>
  </si>
  <si>
    <t>Series Name</t>
  </si>
  <si>
    <t>Series Type</t>
  </si>
  <si>
    <t>Expenditure</t>
  </si>
  <si>
    <t>Revenue</t>
  </si>
  <si>
    <t>Macroeconomic</t>
  </si>
  <si>
    <t>Debt</t>
  </si>
  <si>
    <t>Currency</t>
  </si>
  <si>
    <t>GDP</t>
  </si>
  <si>
    <t>Total Population</t>
  </si>
  <si>
    <t>Series Description</t>
  </si>
  <si>
    <t>totpop</t>
  </si>
  <si>
    <t>inflation</t>
  </si>
  <si>
    <t>corpinctax</t>
  </si>
  <si>
    <t>Corporate Income Tax</t>
  </si>
  <si>
    <t>othrev</t>
  </si>
  <si>
    <t>Other Revenues</t>
  </si>
  <si>
    <t>debt</t>
  </si>
  <si>
    <t>Surplus or Deficit</t>
  </si>
  <si>
    <t>Year 0</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</si>
  <si>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</si>
  <si>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</si>
  <si>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</si>
  <si>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</si>
  <si>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</si>
  <si>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</si>
  <si>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</si>
  <si>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</si>
  <si>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</si>
  <si>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</si>
  <si>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</si>
  <si>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</si>
  <si>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</si>
  <si>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</si>
  <si>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</si>
  <si>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</si>
  <si>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</si>
  <si>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</si>
  <si>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</si>
  <si>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</si>
  <si>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</si>
  <si>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</si>
  <si>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</si>
  <si>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</si>
  <si>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</si>
  <si>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</si>
  <si>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</si>
  <si>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</si>
  <si>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</si>
  <si>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</si>
  <si>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Projection Years</t>
  </si>
  <si>
    <t>Random Numbers</t>
  </si>
  <si>
    <t>Minimum</t>
  </si>
  <si>
    <t>Maximum</t>
  </si>
  <si>
    <t>Projection Comments</t>
  </si>
  <si>
    <t>totrev</t>
  </si>
  <si>
    <t>Total Revenues</t>
  </si>
  <si>
    <t>Total Expenditures</t>
  </si>
  <si>
    <t>Nominal GDP</t>
  </si>
  <si>
    <t>Sum of all expediture categories</t>
  </si>
  <si>
    <t>Sum of all revenue categories</t>
  </si>
  <si>
    <t>Total revenues less total expenditures</t>
  </si>
  <si>
    <t>Prior Year Debt Minus Surplus or Deficit</t>
  </si>
  <si>
    <t>General Inflation</t>
  </si>
  <si>
    <t>healthinflation</t>
  </si>
  <si>
    <t>Health Care Cost Inflation</t>
  </si>
  <si>
    <t>Health Care Cost Index</t>
  </si>
  <si>
    <t>Prior Year GDP Plus GDPGrowth</t>
  </si>
  <si>
    <t>Prior Year Price Index Plus Inflation</t>
  </si>
  <si>
    <t>Prior Year Health Cost Index Plus Health Inflation</t>
  </si>
  <si>
    <t>GDPgrowth</t>
  </si>
  <si>
    <t>Real GDP Growth</t>
  </si>
  <si>
    <t>Real GDP</t>
  </si>
  <si>
    <t>realGDP</t>
  </si>
  <si>
    <t>Real GDP * Price Index</t>
  </si>
  <si>
    <t>healthcostindex</t>
  </si>
  <si>
    <t>netinterest</t>
  </si>
  <si>
    <t>Average Treasury Rate Times Prior Year Debt</t>
  </si>
  <si>
    <t>surplus</t>
  </si>
  <si>
    <t>totexp</t>
  </si>
  <si>
    <t>realGDP[y-1] * (1 + GDPgrowth[y])</t>
  </si>
  <si>
    <t>healthcostindex[y-1] * (1 + healthinflation[y])</t>
  </si>
  <si>
    <t>realGDP[y] * priceIndex[y] * .01</t>
  </si>
  <si>
    <t>RandomMean</t>
  </si>
  <si>
    <t>RandomStdDevOrSigma</t>
  </si>
  <si>
    <t>Include in Output File?</t>
  </si>
  <si>
    <t>Y</t>
  </si>
  <si>
    <t>priceIndex</t>
  </si>
  <si>
    <t>Consumer Price Index</t>
  </si>
  <si>
    <t>priceIndex[y-1] * (1 + inflation[y])</t>
  </si>
  <si>
    <t>indinctax</t>
  </si>
  <si>
    <t>Individual Income Tax</t>
  </si>
  <si>
    <t>schoolpop</t>
  </si>
  <si>
    <t>Population Aged 5-19</t>
  </si>
  <si>
    <t>seniorpop</t>
  </si>
  <si>
    <t>Population Aged 65+</t>
  </si>
  <si>
    <t>Inflation + 0.5%</t>
  </si>
  <si>
    <t>federalassist</t>
  </si>
  <si>
    <t>Federal Assistance</t>
  </si>
  <si>
    <t>Percentage of GDP</t>
  </si>
  <si>
    <t>salestax</t>
  </si>
  <si>
    <t>Sales Tax</t>
  </si>
  <si>
    <t>health</t>
  </si>
  <si>
    <t>Health Expenditures</t>
  </si>
  <si>
    <t>Increases with Health Cost Inflation and Senior Population</t>
  </si>
  <si>
    <t>education</t>
  </si>
  <si>
    <t>Education Expenditures</t>
  </si>
  <si>
    <t>Increases with Inflation and School Aged Population</t>
  </si>
  <si>
    <t>otherprogram</t>
  </si>
  <si>
    <t>Other Program Expenditures</t>
  </si>
  <si>
    <t>Year 31</t>
  </si>
  <si>
    <t>newissuerate</t>
  </si>
  <si>
    <t>Interest Rate on Newly Issued Bonds</t>
  </si>
  <si>
    <t>Based on Prior Year GDP Growth, Inflation and Random Factor</t>
  </si>
  <si>
    <t>Fixed Amount Based on Province's Debt Distribution</t>
  </si>
  <si>
    <t>avgcpnrate</t>
  </si>
  <si>
    <t>debt[y-1] * avgcpnrate[y]</t>
  </si>
  <si>
    <t>Average Coupon Rate Paid By Province</t>
  </si>
  <si>
    <t>Weighted Average of New Issue Rate and Prior Year Avg. Coupon</t>
  </si>
  <si>
    <t>newdebtweight</t>
  </si>
  <si>
    <t>Weighting of Newly Issued Debt for Average Coupon</t>
  </si>
  <si>
    <t>(newissuerate[y] * newdebtweight[y]) + (avgcpnrate[y-1] * (1 - newdebtweight[y]))</t>
  </si>
  <si>
    <t>Type/Format</t>
  </si>
  <si>
    <t>double(10,6)</t>
  </si>
  <si>
    <t>double(8,6)</t>
  </si>
  <si>
    <t>double(20,0)</t>
  </si>
  <si>
    <t>double(12,0)</t>
  </si>
  <si>
    <t>Description</t>
  </si>
  <si>
    <t>Expression</t>
  </si>
  <si>
    <t>Metric 1</t>
  </si>
  <si>
    <t>netinterest[y]/totrev[y]</t>
  </si>
  <si>
    <t>Metric 2</t>
  </si>
  <si>
    <t>debt[y]/GDP[y]</t>
  </si>
  <si>
    <t>Metric 3</t>
  </si>
  <si>
    <t>Debt/Total Revenue</t>
  </si>
  <si>
    <t>debt[y]/totrev[y]</t>
  </si>
  <si>
    <t>Metric 4</t>
  </si>
  <si>
    <t>Absolute Increase in Debt</t>
  </si>
  <si>
    <t>debt[y]-debt[y-1]</t>
  </si>
  <si>
    <t>Metric 5</t>
  </si>
  <si>
    <t>Close the PSCF Control panel window.</t>
  </si>
  <si>
    <t>Close</t>
  </si>
  <si>
    <t>Show C Code</t>
  </si>
  <si>
    <t>Run Analysis</t>
  </si>
  <si>
    <t>PSCF Control Panel (model tab)</t>
  </si>
  <si>
    <t>In this context "YY" refers to the number entered for Projection Years in the model tab.  Enter valid C++ expressions that will be used to compute values for each series in each year during each simulation trial.  Expressions may contain any combination of fixed numeric values, arithmetic operators (+ , - , * , / and ^), references to other current year series values and references to prior year values of this or other series.  Current year series references can only be made to series on a higher row of the series sheet and take the form seriesname[y]. To refer to a prior year series value, enter seriesname[y-1]; two year earlier values can be referenced as seriesname[y-2], and so on.  Forward references of the form seriesname[y+INTEGER) are not supported.  References that would evaluate to a year below 0 will cause an error.  For example, in Year 1 you cannot specify seriesname[y-2] since that would evaluate to Year -1 which does not exist.</t>
  </si>
  <si>
    <t>Year 1 -YY</t>
  </si>
  <si>
    <t>Enter values for the initial or base year of the analysis.  This is typically the most recent year for which actuals or nearly-final estimates are available. Values entered in this column would typically be fixed currency amounts reflecting these budgetary values, although expressions may be used as long as they do not refer to prior years.</t>
  </si>
  <si>
    <t>If "Y", the series will appear as a column in the projection output.  If "N", the series will not appear, but will still be computed.</t>
  </si>
  <si>
    <t>A descriptive field allowing you to describe the method for populating this series. Has no impact on processing or display.</t>
  </si>
  <si>
    <t>Applies only to normal and Cauchy random numbers.  For normally distributed random numbers, allows you to specify a standard deviation.  For Cauchy distributed random numbers, allows you to specify a Sigma.</t>
  </si>
  <si>
    <t>Applies only to normal and Cauchy random numbers.  Enables you to specify a mean around which generated values are distributed.</t>
  </si>
  <si>
    <t>Specifies an absolute ceiling for any value in this series.  Must be a numeric value. Optional.</t>
  </si>
  <si>
    <t>Specifies an absolute floor for any value in this series.  Must be a numeric value. Optional.</t>
  </si>
  <si>
    <t>A string of the format TYPE(SIZE,PRECISION) that controls how the array associated with the series is initialized in C++ and displayed in the projection output.  We recommend using TYPE double for all series, although integer types are also supported.  SIZE refers to the maximum length of series values dispayed in the projection output. PRECISION refers to the number of decimal places to be displayed.</t>
  </si>
  <si>
    <t xml:space="preserve">A descriptive field allowing you to classify series as Random Numbers, Macroecoomic, Revenue, Expenditure or Debt related.  Has no impact on processing or display. </t>
  </si>
  <si>
    <t>A text description of the series which will appear as the column header for series data in the projection output.</t>
  </si>
  <si>
    <t>Variable name describing the series.  This name must follow C++ variable naming conventions, which include a limit on the length of the name and no use of spaces within the name.  Please note that C++ is case sensitive, so you must make sure to use the same case when referring to the name in expressions as you do when initializing it here.</t>
  </si>
  <si>
    <t>Enter one row for each series you wish to generate.  There are three fixed series that should not be removed from the sample: unirandom, normrandom and cauchyrandom refer to arrays of random numbers distributed uniformly, normally or according to the Cauchy form respectively.</t>
  </si>
  <si>
    <t>series tab</t>
  </si>
  <si>
    <t>Level beyond which a default or crisis is assumed to occur. Only applicable to the first metric.</t>
  </si>
  <si>
    <t>A syntactically valid expression in terms of series (defined in the series tab) that computes the desired metric.</t>
  </si>
  <si>
    <t>A text description of the metric.  This will appear as the column header in the projection output.</t>
  </si>
  <si>
    <t>Enter up to 5 metrics that will be calculated during each simulation year for each trial.  Columns in the metric section are described below.</t>
  </si>
  <si>
    <t>model tab (metric section)</t>
  </si>
  <si>
    <t>Some analysts may wish to use a term other than "Default" to describe situations in which the threshold is exceeded.  Enter a term other than "Default" here if that is your preference.  This will be reflected in the projection output.</t>
  </si>
  <si>
    <t>Number of years beyond the initial year that will be analyzed.  For example, if the Initial Year is 2011 and a value of 30 is entered for "Projection Years", the period analyzed will be 2012-2041.  Values for 2011 will also be displayed in the Projection output.</t>
  </si>
  <si>
    <t>Fiscal year associated with the base year of the analysis, referred to as "Year 0" in the models tab. In the projection output, years are numbered sequentially beginning with this initial year.  This field must be a four digit numeric.  If a government entity uses the form FY 2012-2013, that should be entered as 2013 in this field.</t>
  </si>
  <si>
    <t>Currency in which values are denominated.  Value appears in the projection output header.  All models are assumed to use a single currency.</t>
  </si>
  <si>
    <t>Short description of the model.  Value appears in the projection output header.</t>
  </si>
  <si>
    <t>Name of the public sector entity being analyzed.  Value appears in the projection output header.</t>
  </si>
  <si>
    <t>Descriptive information and basic model parameters.</t>
  </si>
  <si>
    <t>model tab (top section)</t>
  </si>
  <si>
    <t>Although this interface uses Excel, PSCF also runs in a command line mode which reads tab delimited copies of the model and series tabs, and outputs results to a tab delimited projections tab.  Command line operation is recommended only for highly technical users and those working in the Linux operating system.</t>
  </si>
  <si>
    <t>You can maintain multiple PSCF workbooks by saving the sample spreadsheet to another name, or copying the workbook using Windows Explorer.  All workbooks should be kept in the \\My Documents\PSCF folder.</t>
  </si>
  <si>
    <t>Each entry in the model and series tab is documented below.  Please review these entries carefully and review the sample before entering and running models.</t>
  </si>
  <si>
    <t>PSCF workbooks enable you to enter all details necessary to create and execute a public sector credit simulation model. To do this, you must correctly populate both the model and series sheets and then click the PSCF Contol Panel, and, finally, click the Run Analysis button in this panel.</t>
  </si>
  <si>
    <t>PSCF Documentation</t>
  </si>
  <si>
    <t>Threshold Label</t>
  </si>
  <si>
    <t>Threshold Level</t>
  </si>
  <si>
    <t>Relation to Threshold Signifying Default</t>
  </si>
  <si>
    <t>Relational operator that should be used in conjunction with the threshold to determine whether a default or crisis is assumed to have occurred. Acceptable values are &lt; , &lt;= , &gt; and &gt;=. Only applicable to the first metric.</t>
  </si>
  <si>
    <t>Default</t>
  </si>
  <si>
    <t>Show Projection Details</t>
  </si>
  <si>
    <t xml:space="preserve">Number of simulation trials to run.  Please note that there is no limit, however projection output includes one row for each year and each trial plus white space.  </t>
  </si>
  <si>
    <t>This button executes a Visual Basic script which performs the following tasks:  (1) checks the syntax of expressions entered in the model and series sheets, (2) converts the model and series sheets to tab delimited text files, (3) translates these text files into a C++ program, (4) compiles the program using the GNU C++ compiler, (5) executes the C++ program thereby running the simuilation and outputting the projection results and (6) loading the projection results into Excel.  If syntax checking reveals errors or compilation fails, the script aborts prior to running other steps.  Error messages may be found in the PSCF control panel and in the form of cell comments associated with cells containing invalid expressions. Depending upon whether you choose to display trial by trial details, a successful analysis run will create either one or two tabs to the Excel workbook.</t>
  </si>
  <si>
    <t>Clear Results</t>
  </si>
  <si>
    <t>Removes previously created projection and results  tabs from the Excel workbook.</t>
  </si>
  <si>
    <t>&gt;</t>
  </si>
  <si>
    <t>normrandom_lfp</t>
  </si>
  <si>
    <t>Random Draws for Labor Force Participation</t>
  </si>
  <si>
    <t>Normally Distributed Random Numbers for Labor Force Participation</t>
  </si>
  <si>
    <t>normrandom_prod</t>
  </si>
  <si>
    <t>Random Draws for Productivity</t>
  </si>
  <si>
    <t>Normally Distributed Random Numbers for Productivity</t>
  </si>
  <si>
    <t>normrandom_infl</t>
  </si>
  <si>
    <t>Random Draws for Inflation</t>
  </si>
  <si>
    <t>Normally Distributed Random Numbers for Inflation</t>
  </si>
  <si>
    <t>Normally Distributed Random Numbers for Metal Prices</t>
  </si>
  <si>
    <t>normrandom_int</t>
  </si>
  <si>
    <t>Random Draws for Interest Rates</t>
  </si>
  <si>
    <t>yr</t>
  </si>
  <si>
    <t>Year Number</t>
  </si>
  <si>
    <t>double(2,0)</t>
  </si>
  <si>
    <t>Sequential Value</t>
  </si>
  <si>
    <t>preschoolpop</t>
  </si>
  <si>
    <t>Population Aged 0-4</t>
  </si>
  <si>
    <t>workingagepop</t>
  </si>
  <si>
    <t>Population Aged 15+</t>
  </si>
  <si>
    <t>age15to64pop</t>
  </si>
  <si>
    <t>Population Aged 15-64</t>
  </si>
  <si>
    <t>age15to64participation</t>
  </si>
  <si>
    <t>Aged 15-64 Labor Force Participation Rate</t>
  </si>
  <si>
    <t>Autoregressive Function Based on Previous Actuals</t>
  </si>
  <si>
    <t>seniorparticipation</t>
  </si>
  <si>
    <t>Senior Labor Force Participation Rate</t>
  </si>
  <si>
    <t>Autoregressive Function with Trend Based on Previous Actuals</t>
  </si>
  <si>
    <t>laborforcepart</t>
  </si>
  <si>
    <t>Overall Labor Force Participation Rate</t>
  </si>
  <si>
    <t>Weighted Average of Senor ot Age15to64 Participation Rates</t>
  </si>
  <si>
    <t>(seniorparticipation[y]*seniorpop[y]+age15to64participation[y]*age15to64pop[y])/workingagepop[y]</t>
  </si>
  <si>
    <t>laborforce</t>
  </si>
  <si>
    <t>Size of Labor Force</t>
  </si>
  <si>
    <t>Labor Force Participation Rate * (Working Age and Senior Pop)</t>
  </si>
  <si>
    <t>workingagepop[y] * laborforcepart[y]</t>
  </si>
  <si>
    <t>productivitygrowth</t>
  </si>
  <si>
    <t>Productivity Growth</t>
  </si>
  <si>
    <t>0.010695 + 0.421745 * productivitygrowth[y-1] + 0.017974 * normrandom_prod[y]</t>
  </si>
  <si>
    <t>Based on LFP and Productivity Growth</t>
  </si>
  <si>
    <t>Autoregressive equation</t>
  </si>
  <si>
    <t>0.013851 + 0.649200 * inflation[y-1] + 0.035383 * normrandom_infl[y]</t>
  </si>
  <si>
    <t>health[y-1]*(seniorpop[y]/seniorpop[y-1])*(1.01+healthinflation[y])</t>
  </si>
  <si>
    <t>education[y-1]* ((schoolpop[y]/schoolpop[y-1]  &lt;  1) ? 1 : schoolpop[y]/schoolpop[y-1]) *(1.01+inflation[y])</t>
  </si>
  <si>
    <t>Net Interest Expense</t>
  </si>
  <si>
    <t>Adjustment Name</t>
  </si>
  <si>
    <t>Expression to Evaluate</t>
  </si>
  <si>
    <t xml:space="preserve">Relation to Threshold </t>
  </si>
  <si>
    <t>Threshold Value</t>
  </si>
  <si>
    <t>Series to Adjust if Threshold is Surpassed</t>
  </si>
  <si>
    <t>Distribute Adjustment to Related Series</t>
  </si>
  <si>
    <t>Revenue Adjustment for Large Surplus</t>
  </si>
  <si>
    <t>totrev[y]/totexp[y]</t>
  </si>
  <si>
    <t>totrev[y]</t>
  </si>
  <si>
    <t>indinctax[y]</t>
  </si>
  <si>
    <t>corpinctax[y]</t>
  </si>
  <si>
    <t>salestax[y]</t>
  </si>
  <si>
    <t>Expense Adjustment for Large Deficit</t>
  </si>
  <si>
    <t>&lt;</t>
  </si>
  <si>
    <t>totexp[y]</t>
  </si>
  <si>
    <t>health[y]</t>
  </si>
  <si>
    <t>education[y]</t>
  </si>
  <si>
    <t>otherprogram[y]</t>
  </si>
  <si>
    <t>Minimum Cumulative Default Probability Associated with Rating</t>
  </si>
  <si>
    <t>Rating</t>
  </si>
  <si>
    <t>AAA</t>
  </si>
  <si>
    <t>AA+</t>
  </si>
  <si>
    <t>AA</t>
  </si>
  <si>
    <t>AA-</t>
  </si>
  <si>
    <t>A+</t>
  </si>
  <si>
    <t>A</t>
  </si>
  <si>
    <t>A-</t>
  </si>
  <si>
    <t>BBB+</t>
  </si>
  <si>
    <t>BBB</t>
  </si>
  <si>
    <t>BBB-</t>
  </si>
  <si>
    <t>BB+</t>
  </si>
  <si>
    <t>BB</t>
  </si>
  <si>
    <t>BB-</t>
  </si>
  <si>
    <t>B+</t>
  </si>
  <si>
    <t>B</t>
  </si>
  <si>
    <t>B-</t>
  </si>
  <si>
    <t>CCC+</t>
  </si>
  <si>
    <t>CCC</t>
  </si>
  <si>
    <t>CCC-</t>
  </si>
  <si>
    <t>CC</t>
  </si>
  <si>
    <t>C</t>
  </si>
  <si>
    <t>D</t>
  </si>
  <si>
    <t>totrev[y] - totexp[y]</t>
  </si>
  <si>
    <t>Total Rev / Total Exp</t>
  </si>
  <si>
    <t>Default Probability Code</t>
  </si>
  <si>
    <t>model tab (default probability code)</t>
  </si>
  <si>
    <t xml:space="preserve">Advanced feature. Most users should leave this field blank. This field supports the  computation of fractional annual default probabilites based on one or more metrics. This field allows the entry of a default probability code block. The code must be written in ANSI C and must supply a value to the array element defaultprob[y]. </t>
  </si>
  <si>
    <t>adjustments tab (optional)</t>
  </si>
  <si>
    <t>This optional tab allows you to adjust fiscal series after they have been calculated. Primary use is to limit annual surpluses or deficits.</t>
  </si>
  <si>
    <t>A text description of the adjustment.</t>
  </si>
  <si>
    <t>A syntactically valid expression in terms of series (defined in the series tab) that computes an expression to test once all series have been calculated for a given year in a given trial.</t>
  </si>
  <si>
    <t>Level beyond which the adjustment will be made.</t>
  </si>
  <si>
    <t xml:space="preserve">Relational operator that should be used in conjunction with the threshold to determine whether an adjustment will be made. Acceptable values are &lt; , &lt;= , &gt; and &gt;=. </t>
  </si>
  <si>
    <r>
      <t xml:space="preserve">An additional list of series to change in order to be consistent with the adjusted series value. All series in the list will be adjusted </t>
    </r>
    <r>
      <rPr>
        <i/>
        <sz val="11"/>
        <color theme="1"/>
        <rFont val="Calibri"/>
        <family val="2"/>
        <scheme val="minor"/>
      </rPr>
      <t xml:space="preserve">pro rata </t>
    </r>
    <r>
      <rPr>
        <sz val="11"/>
        <color theme="1"/>
        <rFont val="Calibri"/>
        <family val="2"/>
        <scheme val="minor"/>
      </rPr>
      <t>without constraint.</t>
    </r>
  </si>
  <si>
    <t>ratingmap tab (optional)</t>
  </si>
  <si>
    <t>normrandom_unem</t>
  </si>
  <si>
    <t>Random Draws for Unemployment</t>
  </si>
  <si>
    <t>Normally Distributed Random Numbers for Unemployment</t>
  </si>
  <si>
    <t>0.129709 + 0.833462 * age15to64participation[y-1] + 0.012870 * normrandom_lfp[y]</t>
  </si>
  <si>
    <t>-0.014950 + 0.000331 * yr[y] + 0.988884 * seniorparticipation[y-1] + 0.016575 * normrandom_lfp[y]</t>
  </si>
  <si>
    <t>unemployment</t>
  </si>
  <si>
    <t>Unemployment Rate</t>
  </si>
  <si>
    <t>0.028227 + 0.665252 * unemployment[y-1] + 0.018809 * normrandom_unem[y]</t>
  </si>
  <si>
    <t>employed</t>
  </si>
  <si>
    <t>Number of Persons Employed</t>
  </si>
  <si>
    <t>Labor Force times (1 - Unemployment Rate)</t>
  </si>
  <si>
    <t>laborforce[y] * (1 - unemployment[y])</t>
  </si>
  <si>
    <t>( employed[y] / employed[y-1]  - 1 ) + productivitygrowth[y]</t>
  </si>
  <si>
    <t xml:space="preserve">inflation[y] + .005 </t>
  </si>
  <si>
    <t>Lookup table between annual default probabilites and ratings. If this table is provided, annual rating equivalents will be displayed in results.</t>
  </si>
  <si>
    <t>Click this command button to run a projection or perform projection-related housekeeping tasks.  Normally, you would only use this panel after populating both the model and series sheets.</t>
  </si>
  <si>
    <t>Displays the generated code in a Notepad window.  This is for informational purposes only.  Manual changes to the program will not affect the projection output and will be overwritten the next time "Run Analysis" is executed.</t>
  </si>
  <si>
    <t>Specify which series to adjust so that the Expression to Evaluate matches the threshold.</t>
  </si>
  <si>
    <t>Constraint Operator</t>
  </si>
  <si>
    <t>&gt;=</t>
  </si>
  <si>
    <t>Constraint Amount</t>
  </si>
  <si>
    <t>Dependent Series</t>
  </si>
  <si>
    <t>Relational operator that should be used in conjunction with the Constraint Amount to set a limit to the amount of the series is adjusted. Acceptable values are &lt; , &lt;= , &gt; and &gt;=. Only applicable to the first metric.</t>
  </si>
  <si>
    <t>Other series whose values are dependent on series being adjusted. Series listed in this column will be recalculated after the adjustments have been applied.</t>
  </si>
  <si>
    <t>Number, series member or compound term specifying the upper or lower bound for the adjusted value. A typical use of this field (and the operator field above) is to prevent a series from swiching signs.</t>
  </si>
  <si>
    <t>Default rates in this table is roughly based on the Idealized Default Rate table distributed by Moody's Corporation, although it uses the more familiar rating symbols employed by S&amp;P and Fitch. PSCF users may substitute any values between 0 and 1.</t>
  </si>
  <si>
    <t>AnyProvince</t>
  </si>
  <si>
    <t>Sample Canadian Province</t>
  </si>
  <si>
    <t>CAD</t>
  </si>
  <si>
    <t>Statistics Canada Population Estimates</t>
  </si>
  <si>
    <t>federalassist[y]+indinctax[y]+corpinctax[y]+salestax[y]+othrev[y]</t>
  </si>
  <si>
    <t>surplus[y]</t>
  </si>
  <si>
    <t>debt[y]</t>
  </si>
  <si>
    <t xml:space="preserve"> .01 + 0.59 * newissuerate[y-1]  + 0.31 * inflation[y] + 0.003248275 * normrandom_int[y]</t>
  </si>
  <si>
    <t>health[y]+education[y]+otherprogram[y]+netinterest[y]</t>
  </si>
  <si>
    <t>federalassist[y-1]/GDP[y-1]*GDP[y]</t>
  </si>
  <si>
    <t>indinctax[y-1]/GDP[y-1]*GDP[y]</t>
  </si>
  <si>
    <t>corpinctax[y-1]/GDP[y-1]*GDP[y]</t>
  </si>
  <si>
    <t>salestax[y-1]/GDP[y-1]*GDP[y]</t>
  </si>
  <si>
    <t>othrev[y-1]/GDP[y-1]*GDP[y]</t>
  </si>
  <si>
    <t>otherprogram[y-1]/GDP[y-1]*GDP[y]</t>
  </si>
  <si>
    <t>N</t>
  </si>
  <si>
    <t>Fixed Random Seed?</t>
  </si>
  <si>
    <t>Optimize Code?</t>
  </si>
  <si>
    <t>Projection Details?</t>
  </si>
  <si>
    <t xml:space="preserve">  Y=full details; N=no details; S=summary</t>
  </si>
  <si>
    <t xml:space="preserve">  Y=optimize compiled code; N=don't optimize</t>
  </si>
  <si>
    <t>Run on # cpu cores</t>
  </si>
  <si>
    <t>debt[y-1] - surplus[y]</t>
  </si>
  <si>
    <t xml:space="preserve">  #=use same specified random number for each analysis; N=dynamically generated random number seed</t>
  </si>
  <si>
    <t xml:space="preserve">  Enter a number between 1 and the total number of available cores on your PC, or A for all cores</t>
  </si>
  <si>
    <t>Controls whether trial by trial results will be generated and displayed in a tab named "projections".   Acceptable values are "Y" for Yes; "N" for No or "S" to show Summary results (minima, maxima and medians). Given the row limit of an Excel spreadsheet, this value should be set to "N" if the number of years multiplied by the number of trials exceeeds one million.</t>
  </si>
  <si>
    <t>When complied code is optimized, the PSCF compilation step takes longer but the analysis may be faster.  Enter  "Y" to optimize compiled code; "N" to not optimize.  Use "N" when running a small number of trials.</t>
  </si>
  <si>
    <t>Enter an integer to use as the random number for each analysis; or N to dynamically generat a random number seed.</t>
  </si>
  <si>
    <t>Enter a number between 1 and the total number of available cores on your PC, or "A" for all cores.</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</si>
</sst>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0.0000"/>
    <numFmt numFmtId="165" formatCode="0.000"/>
    <numFmt numFmtId="166" formatCode="0.00000"/>
    <numFmt numFmtId="167" formatCode="#,##0.000"/>
    <numFmt numFmtId="168" formatCode="#,##0.0000"/>
  </numFmts>
  <fonts count="6"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name val="Calibri"/>
      <family val="2"/>
      <scheme val="minor"/>
    </font>
    <font>
      <i/>
      <sz val="11"/>
      <color theme="1"/>
      <name val="Calibri"/>
      <family val="2"/>
      <scheme val="minor"/>
    </font>
  </fonts>
  <fills count="3">
    <fill>
      <patternFill patternType="none"/>
    </fill>
    <fill>
      <patternFill patternType="gray125"/>
    </fill>
    <fill>
      <gradientFill degree="45">
        <stop position="0">
          <color theme="0"/>
        </stop>
        <stop position="1">
          <color theme="4"/>
        </stop>
      </gradient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80">
    <xf numFmtId="0" fontId="0" fillId="0" borderId="0" xfId="0"/>
    <xf numFmtId="0" fontId="0" fillId="0" borderId="0" xfId="0" applyAlignment="1">
      <alignment horizontal="center"/>
    </xf>
    <xf numFmtId="0" fontId="2" fillId="0" borderId="0" xfId="0" applyFont="1"/>
    <xf numFmtId="0" fontId="2" fillId="0" borderId="0" xfId="0" applyFont="1" applyAlignment="1">
      <alignment horizontal="center"/>
    </xf>
    <xf numFmtId="0" fontId="3" fillId="0" borderId="1" xfId="0" applyFont="1" applyBorder="1" applyAlignment="1">
      <alignment horizontal="center"/>
    </xf>
    <xf numFmtId="0" fontId="0" fillId="0" borderId="0" xfId="0" applyFill="1"/>
    <xf numFmtId="9" fontId="3" fillId="0" borderId="1" xfId="2" applyFont="1" applyBorder="1" applyAlignment="1">
      <alignment horizontal="center"/>
    </xf>
    <xf numFmtId="0" fontId="2" fillId="0" borderId="1" xfId="0" applyFont="1" applyBorder="1" applyAlignment="1">
      <alignment horizontal="center"/>
    </xf>
    <xf numFmtId="0" fontId="2" fillId="0" borderId="1" xfId="0" applyFont="1" applyBorder="1"/>
    <xf numFmtId="0" fontId="0" fillId="0" borderId="0" xfId="0" quotePrefix="1"/>
    <xf numFmtId="0" fontId="0" fillId="0" borderId="1" xfId="0" applyBorder="1" applyAlignment="1">
      <alignment horizontal="center"/>
    </xf>
    <xf numFmtId="0" fontId="4" fillId="0" borderId="0" xfId="0" applyFont="1" applyAlignment="1">
      <alignment horizontal="left" vertical="top"/>
    </xf>
    <xf numFmtId="0" fontId="0" fillId="0" borderId="1" xfId="0" applyBorder="1" applyAlignment="1">
      <alignment wrapText="1"/>
    </xf>
    <xf numFmtId="0" fontId="4" fillId="0" borderId="1" xfId="0" applyFont="1" applyBorder="1" applyAlignment="1">
      <alignment horizontal="left" vertical="top" wrapText="1"/>
    </xf>
    <xf numFmtId="0" fontId="0" fillId="0" borderId="1" xfId="0" applyBorder="1"/>
    <xf numFmtId="0" fontId="0" fillId="0" borderId="4" xfId="0" applyBorder="1" applyAlignment="1">
      <alignment wrapText="1"/>
    </xf>
    <xf numFmtId="0" fontId="0" fillId="0" borderId="5" xfId="0" applyBorder="1" applyAlignment="1">
      <alignment wrapText="1"/>
    </xf>
    <xf numFmtId="0" fontId="4" fillId="0" borderId="5" xfId="0" applyFont="1" applyBorder="1" applyAlignment="1">
      <alignment horizontal="left" vertical="top" wrapText="1"/>
    </xf>
    <xf numFmtId="0" fontId="0" fillId="0" borderId="5" xfId="0" applyBorder="1"/>
    <xf numFmtId="0" fontId="0" fillId="0" borderId="6" xfId="0" applyBorder="1" applyAlignment="1">
      <alignment wrapText="1"/>
    </xf>
    <xf numFmtId="0" fontId="4" fillId="0" borderId="6" xfId="0" applyFont="1" applyBorder="1" applyAlignment="1">
      <alignment horizontal="left" vertical="top" wrapText="1"/>
    </xf>
    <xf numFmtId="0" fontId="0" fillId="0" borderId="6" xfId="0" applyBorder="1"/>
    <xf numFmtId="0" fontId="0" fillId="0" borderId="1" xfId="0" applyBorder="1" applyAlignment="1">
      <alignment vertical="top" wrapText="1"/>
    </xf>
    <xf numFmtId="0" fontId="0" fillId="0" borderId="6" xfId="0" applyBorder="1" applyAlignment="1">
      <alignment horizontal="left" vertical="top" wrapText="1"/>
    </xf>
    <xf numFmtId="0" fontId="0" fillId="0" borderId="1" xfId="0" applyBorder="1" applyAlignment="1">
      <alignment horizontal="left" vertical="top" wrapText="1"/>
    </xf>
    <xf numFmtId="0" fontId="4" fillId="0" borderId="0" xfId="0" applyFont="1" applyAlignment="1">
      <alignment horizontal="left" vertical="top" wrapText="1"/>
    </xf>
    <xf numFmtId="0" fontId="3" fillId="0" borderId="0" xfId="0" applyFont="1"/>
    <xf numFmtId="0" fontId="0" fillId="0" borderId="0" xfId="0" quotePrefix="1" applyAlignment="1">
      <alignment vertical="top"/>
    </xf>
    <xf numFmtId="9" fontId="3" fillId="0" borderId="1" xfId="2" applyFont="1" applyBorder="1" applyAlignment="1">
      <alignment horizontal="center" vertical="top"/>
    </xf>
    <xf numFmtId="0" fontId="0" fillId="0" borderId="1" xfId="0" applyBorder="1" applyAlignment="1">
      <alignment horizontal="center" vertical="top"/>
    </xf>
    <xf numFmtId="0" fontId="0" fillId="0" borderId="1" xfId="0" quotePrefix="1" applyBorder="1" applyAlignment="1">
      <alignment horizontal="center" vertical="top"/>
    </xf>
    <xf numFmtId="0" fontId="0" fillId="0" borderId="0" xfId="0" applyAlignment="1">
      <alignment horizontal="left" wrapText="1"/>
    </xf>
    <xf numFmtId="0" fontId="0" fillId="0" borderId="7" xfId="0" applyBorder="1"/>
    <xf numFmtId="0" fontId="4" fillId="0" borderId="0" xfId="0" applyFont="1" applyFill="1" applyAlignment="1">
      <alignment horizontal="left"/>
    </xf>
    <xf numFmtId="0" fontId="4" fillId="0" borderId="0" xfId="0" applyFont="1" applyFill="1" applyAlignment="1">
      <alignment horizontal="center"/>
    </xf>
    <xf numFmtId="0" fontId="0" fillId="0" borderId="0" xfId="0" quotePrefix="1" applyFill="1" applyAlignment="1">
      <alignment horizontal="center"/>
    </xf>
    <xf numFmtId="166" fontId="0" fillId="0" borderId="0" xfId="0" applyNumberFormat="1"/>
    <xf numFmtId="0" fontId="0" fillId="0" borderId="0" xfId="0"/>
    <xf numFmtId="0" fontId="0" fillId="0" borderId="1" xfId="0" applyFill="1" applyBorder="1" applyAlignment="1">
      <alignment vertical="top" wrapText="1"/>
    </xf>
    <xf numFmtId="0" fontId="2" fillId="0" borderId="1" xfId="0" applyFont="1" applyFill="1" applyBorder="1" applyAlignment="1">
      <alignment horizontal="center"/>
    </xf>
    <xf numFmtId="0" fontId="0" fillId="0" borderId="7" xfId="0" applyBorder="1" applyAlignment="1">
      <alignment horizontal="left" vertical="top" wrapText="1"/>
    </xf>
    <xf numFmtId="0" fontId="0" fillId="0" borderId="7" xfId="0" applyBorder="1" applyAlignment="1">
      <alignment wrapText="1"/>
    </xf>
    <xf numFmtId="0" fontId="3" fillId="0" borderId="7" xfId="0" applyFont="1" applyBorder="1" applyAlignment="1">
      <alignment vertical="top"/>
    </xf>
    <xf numFmtId="0" fontId="3" fillId="0" borderId="8" xfId="0" applyFont="1" applyBorder="1" applyAlignment="1">
      <alignment vertical="top"/>
    </xf>
    <xf numFmtId="0" fontId="0" fillId="0" borderId="9" xfId="0" applyBorder="1" applyAlignment="1">
      <alignment horizontal="left" vertical="top" wrapText="1"/>
    </xf>
    <xf numFmtId="0" fontId="4" fillId="0" borderId="7" xfId="0" applyFont="1" applyBorder="1" applyAlignment="1">
      <alignment horizontal="left" vertical="top" wrapText="1"/>
    </xf>
    <xf numFmtId="0" fontId="0" fillId="0" borderId="0" xfId="0" applyAlignment="1">
      <alignment horizontal="center"/>
    </xf>
    <xf numFmtId="3" fontId="3" fillId="0" borderId="1" xfId="0" applyNumberFormat="1" applyFont="1" applyBorder="1" applyAlignment="1">
      <alignment horizontal="center"/>
    </xf>
    <xf numFmtId="0" fontId="2" fillId="0" borderId="0" xfId="0" applyFont="1" applyAlignment="1">
      <alignment horizontal="left"/>
    </xf>
    <xf numFmtId="0" fontId="4" fillId="0" borderId="0" xfId="0" applyFont="1"/>
    <xf numFmtId="0" fontId="4" fillId="0" borderId="0" xfId="0" applyFont="1" applyAlignment="1">
      <alignment horizontal="left"/>
    </xf>
    <xf numFmtId="0" fontId="4" fillId="0" borderId="0" xfId="0" applyFont="1" applyAlignment="1">
      <alignment horizontal="center"/>
    </xf>
    <xf numFmtId="165" fontId="4" fillId="0" borderId="0" xfId="1" applyNumberFormat="1" applyFont="1" applyAlignment="1">
      <alignment horizontal="center"/>
    </xf>
    <xf numFmtId="1" fontId="4" fillId="0" borderId="0" xfId="1" applyNumberFormat="1" applyFont="1" applyAlignment="1">
      <alignment horizontal="center"/>
    </xf>
    <xf numFmtId="1" fontId="4" fillId="0" borderId="0" xfId="1" quotePrefix="1" applyNumberFormat="1" applyFont="1" applyAlignment="1">
      <alignment horizontal="center"/>
    </xf>
    <xf numFmtId="2" fontId="4" fillId="0" borderId="0" xfId="1" applyNumberFormat="1" applyFont="1" applyAlignment="1">
      <alignment horizontal="center"/>
    </xf>
    <xf numFmtId="0" fontId="0" fillId="0" borderId="0" xfId="0" quotePrefix="1" applyAlignment="1">
      <alignment horizontal="center"/>
    </xf>
    <xf numFmtId="164" fontId="4" fillId="0" borderId="0" xfId="1" applyNumberFormat="1" applyFont="1" applyAlignment="1">
      <alignment horizontal="center"/>
    </xf>
    <xf numFmtId="0" fontId="0" fillId="0" borderId="0" xfId="0" applyAlignment="1">
      <alignment horizontal="left"/>
    </xf>
    <xf numFmtId="1" fontId="0" fillId="0" borderId="0" xfId="0" applyNumberFormat="1" applyFont="1" applyAlignment="1">
      <alignment horizontal="center"/>
    </xf>
    <xf numFmtId="0" fontId="4" fillId="0" borderId="0" xfId="0" quotePrefix="1" applyFont="1"/>
    <xf numFmtId="0" fontId="0" fillId="0" borderId="8" xfId="0" applyBorder="1"/>
    <xf numFmtId="0" fontId="0" fillId="0" borderId="2" xfId="0" applyBorder="1"/>
    <xf numFmtId="0" fontId="0" fillId="0" borderId="0" xfId="0" applyAlignment="1">
      <alignment horizontal="center"/>
    </xf>
    <xf numFmtId="0" fontId="5" fillId="0" borderId="0" xfId="0" applyFont="1"/>
    <xf numFmtId="3" fontId="4" fillId="0" borderId="0" xfId="1" applyNumberFormat="1" applyFont="1" applyAlignment="1">
      <alignment horizontal="center"/>
    </xf>
    <xf numFmtId="3" fontId="4" fillId="0" borderId="0" xfId="0" applyNumberFormat="1" applyFont="1" applyAlignment="1">
      <alignment horizontal="center"/>
    </xf>
    <xf numFmtId="167" fontId="4" fillId="0" borderId="0" xfId="1" applyNumberFormat="1" applyFont="1" applyAlignment="1">
      <alignment horizontal="center"/>
    </xf>
    <xf numFmtId="168" fontId="4" fillId="0" borderId="0" xfId="1" applyNumberFormat="1" applyFont="1" applyAlignment="1">
      <alignment horizontal="center"/>
    </xf>
    <xf numFmtId="0" fontId="0" fillId="0" borderId="0" xfId="0" applyFill="1" applyBorder="1"/>
    <xf numFmtId="0" fontId="3" fillId="0" borderId="1" xfId="0" applyFont="1" applyBorder="1" applyAlignment="1">
      <alignment horizontal="left" vertical="top"/>
    </xf>
    <xf numFmtId="0" fontId="3" fillId="0" borderId="4" xfId="0" applyFont="1" applyBorder="1" applyAlignment="1">
      <alignment horizontal="left" vertical="top"/>
    </xf>
    <xf numFmtId="0" fontId="0" fillId="0" borderId="0" xfId="0" applyAlignment="1">
      <alignment horizontal="left" wrapText="1"/>
    </xf>
    <xf numFmtId="0" fontId="0" fillId="0" borderId="0" xfId="0" applyAlignment="1">
      <alignment horizontal="left" vertical="top" wrapText="1"/>
    </xf>
    <xf numFmtId="0" fontId="3" fillId="0" borderId="1" xfId="0" applyFont="1" applyBorder="1" applyAlignment="1">
      <alignment horizontal="left"/>
    </xf>
    <xf numFmtId="0" fontId="0" fillId="2" borderId="2" xfId="0" applyFill="1" applyBorder="1" applyAlignment="1">
      <alignment horizontal="center"/>
    </xf>
    <xf numFmtId="0" fontId="0" fillId="2" borderId="7" xfId="0" applyFill="1" applyBorder="1" applyAlignment="1">
      <alignment horizontal="center"/>
    </xf>
    <xf numFmtId="0" fontId="0" fillId="2" borderId="3" xfId="0" applyFill="1" applyBorder="1" applyAlignment="1">
      <alignment horizontal="center"/>
    </xf>
    <xf numFmtId="0" fontId="0" fillId="2" borderId="0" xfId="0" applyFill="1" applyBorder="1" applyAlignment="1">
      <alignment horizontal="center"/>
    </xf>
    <xf numFmtId="0" fontId="0" fillId="0" borderId="0" xfId="0" applyAlignment="1">
      <alignment horizontal="center"/>
    </xf>
  </cellXfs>
  <cellStyles count="3">
    <cellStyle name="Comma" xfId="1" builtinId="3"/>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254000</xdr:colOff>
          <xdr:row>23</xdr:row>
          <xdr:rowOff>0</xdr:rowOff>
        </xdr:from>
        <xdr:to>
          <xdr:col>1</xdr:col>
          <xdr:colOff>2403475</xdr:colOff>
          <xdr:row>25</xdr:row>
          <xdr:rowOff>0</xdr:rowOff>
        </xdr:to>
        <xdr:sp macro="" textlink="">
          <xdr:nvSpPr>
            <xdr:cNvPr id="2049" name="CommandButtonPanel"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64"/>
  <sheetViews>
    <sheetView workbookViewId="0"/>
  </sheetViews>
  <sheetFormatPr defaultRowHeight="15" x14ac:dyDescent="0.25"/>
  <cols>
    <col min="1" max="1" width="9.140625" style="37"/>
    <col min="2" max="2" width="38.28515625" style="11" bestFit="1" customWidth="1"/>
    <col min="3" max="3" width="119" style="37" customWidth="1"/>
    <col min="4" max="16384" width="9.140625" style="37"/>
  </cols>
  <sheetData>
    <row r="1" spans="1:3" x14ac:dyDescent="0.25">
      <c r="A1" s="26" t="s">
        <v>184</v>
      </c>
      <c r="C1"/>
    </row>
    <row r="3" spans="1:3" ht="31.5" customHeight="1" x14ac:dyDescent="0.25">
      <c r="A3" s="72" t="s">
        <v>183</v>
      </c>
      <c r="B3" s="72"/>
      <c r="C3" s="72"/>
    </row>
    <row r="4" spans="1:3" x14ac:dyDescent="0.25">
      <c r="A4" s="31"/>
      <c r="B4" s="25"/>
      <c r="C4" s="31"/>
    </row>
    <row r="5" spans="1:3" x14ac:dyDescent="0.25">
      <c r="A5" s="72" t="s">
        <v>182</v>
      </c>
      <c r="B5" s="72"/>
      <c r="C5" s="72"/>
    </row>
    <row r="6" spans="1:3" x14ac:dyDescent="0.25">
      <c r="A6" s="31"/>
      <c r="B6" s="25"/>
      <c r="C6" s="31"/>
    </row>
    <row r="7" spans="1:3" ht="32.25" customHeight="1" x14ac:dyDescent="0.25">
      <c r="A7" s="73" t="s">
        <v>181</v>
      </c>
      <c r="B7" s="73"/>
      <c r="C7" s="73"/>
    </row>
    <row r="8" spans="1:3" x14ac:dyDescent="0.25">
      <c r="A8" s="31"/>
      <c r="B8" s="25"/>
      <c r="C8" s="31"/>
    </row>
    <row r="9" spans="1:3" ht="35.25" customHeight="1" x14ac:dyDescent="0.25">
      <c r="A9" s="73" t="s">
        <v>180</v>
      </c>
      <c r="B9" s="73"/>
      <c r="C9" s="73"/>
    </row>
    <row r="11" spans="1:3" x14ac:dyDescent="0.25">
      <c r="A11" s="74" t="s">
        <v>179</v>
      </c>
      <c r="B11" s="74"/>
      <c r="C11" s="14" t="s">
        <v>178</v>
      </c>
    </row>
    <row r="12" spans="1:3" x14ac:dyDescent="0.25">
      <c r="A12" s="14"/>
      <c r="B12" s="13" t="s">
        <v>2</v>
      </c>
      <c r="C12" s="12" t="s">
        <v>177</v>
      </c>
    </row>
    <row r="13" spans="1:3" x14ac:dyDescent="0.25">
      <c r="A13" s="14"/>
      <c r="B13" s="13" t="s">
        <v>3</v>
      </c>
      <c r="C13" s="12" t="s">
        <v>176</v>
      </c>
    </row>
    <row r="14" spans="1:3" ht="30" x14ac:dyDescent="0.25">
      <c r="A14" s="14"/>
      <c r="B14" s="13" t="s">
        <v>14</v>
      </c>
      <c r="C14" s="12" t="s">
        <v>175</v>
      </c>
    </row>
    <row r="15" spans="1:3" ht="45" x14ac:dyDescent="0.25">
      <c r="A15" s="14"/>
      <c r="B15" s="13" t="s">
        <v>4</v>
      </c>
      <c r="C15" s="12" t="s">
        <v>174</v>
      </c>
    </row>
    <row r="16" spans="1:3" ht="30" x14ac:dyDescent="0.25">
      <c r="A16" s="14"/>
      <c r="B16" s="13" t="s">
        <v>57</v>
      </c>
      <c r="C16" s="12" t="s">
        <v>173</v>
      </c>
    </row>
    <row r="17" spans="1:3" ht="30" x14ac:dyDescent="0.25">
      <c r="A17" s="14"/>
      <c r="B17" s="13" t="s">
        <v>5</v>
      </c>
      <c r="C17" s="12" t="s">
        <v>191</v>
      </c>
    </row>
    <row r="18" spans="1:3" ht="30" x14ac:dyDescent="0.25">
      <c r="A18" s="21"/>
      <c r="B18" s="20" t="s">
        <v>185</v>
      </c>
      <c r="C18" s="19" t="s">
        <v>172</v>
      </c>
    </row>
    <row r="19" spans="1:3" ht="45" x14ac:dyDescent="0.25">
      <c r="A19" s="32"/>
      <c r="B19" s="13" t="s">
        <v>190</v>
      </c>
      <c r="C19" s="12" t="s">
        <v>347</v>
      </c>
    </row>
    <row r="20" spans="1:3" ht="30" x14ac:dyDescent="0.25">
      <c r="A20" s="32"/>
      <c r="B20" s="13" t="s">
        <v>339</v>
      </c>
      <c r="C20" s="12" t="s">
        <v>348</v>
      </c>
    </row>
    <row r="21" spans="1:3" x14ac:dyDescent="0.25">
      <c r="A21" s="32"/>
      <c r="B21" s="13" t="s">
        <v>338</v>
      </c>
      <c r="C21" s="12" t="s">
        <v>349</v>
      </c>
    </row>
    <row r="22" spans="1:3" x14ac:dyDescent="0.25">
      <c r="A22" s="32"/>
      <c r="B22" s="13" t="s">
        <v>343</v>
      </c>
      <c r="C22" s="12" t="s">
        <v>350</v>
      </c>
    </row>
    <row r="23" spans="1:3" x14ac:dyDescent="0.25">
      <c r="A23" s="18"/>
      <c r="B23" s="17"/>
      <c r="C23" s="16"/>
    </row>
    <row r="24" spans="1:3" ht="30" x14ac:dyDescent="0.25">
      <c r="A24" s="71" t="s">
        <v>171</v>
      </c>
      <c r="B24" s="71"/>
      <c r="C24" s="15" t="s">
        <v>170</v>
      </c>
    </row>
    <row r="25" spans="1:3" x14ac:dyDescent="0.25">
      <c r="A25" s="14"/>
      <c r="B25" s="13" t="s">
        <v>134</v>
      </c>
      <c r="C25" s="12" t="s">
        <v>169</v>
      </c>
    </row>
    <row r="26" spans="1:3" x14ac:dyDescent="0.25">
      <c r="A26" s="14"/>
      <c r="B26" s="24" t="s">
        <v>135</v>
      </c>
      <c r="C26" s="12" t="s">
        <v>168</v>
      </c>
    </row>
    <row r="27" spans="1:3" x14ac:dyDescent="0.25">
      <c r="A27" s="14"/>
      <c r="B27" s="24" t="s">
        <v>186</v>
      </c>
      <c r="C27" s="12" t="s">
        <v>167</v>
      </c>
    </row>
    <row r="28" spans="1:3" ht="30" x14ac:dyDescent="0.25">
      <c r="A28" s="21"/>
      <c r="B28" s="23" t="s">
        <v>187</v>
      </c>
      <c r="C28" s="19" t="s">
        <v>188</v>
      </c>
    </row>
    <row r="29" spans="1:3" x14ac:dyDescent="0.25">
      <c r="A29" s="32"/>
      <c r="B29" s="40"/>
      <c r="C29" s="41"/>
    </row>
    <row r="30" spans="1:3" ht="45" x14ac:dyDescent="0.25">
      <c r="A30" s="43" t="s">
        <v>286</v>
      </c>
      <c r="B30" s="44"/>
      <c r="C30" s="12" t="s">
        <v>287</v>
      </c>
    </row>
    <row r="31" spans="1:3" x14ac:dyDescent="0.25">
      <c r="A31" s="32"/>
      <c r="B31" s="40"/>
      <c r="C31" s="41"/>
    </row>
    <row r="32" spans="1:3" ht="45" x14ac:dyDescent="0.25">
      <c r="A32" s="70" t="s">
        <v>166</v>
      </c>
      <c r="B32" s="70"/>
      <c r="C32" s="12" t="s">
        <v>165</v>
      </c>
    </row>
    <row r="33" spans="1:3" ht="45" x14ac:dyDescent="0.25">
      <c r="A33" s="14"/>
      <c r="B33" s="13" t="s">
        <v>8</v>
      </c>
      <c r="C33" s="12" t="s">
        <v>164</v>
      </c>
    </row>
    <row r="34" spans="1:3" x14ac:dyDescent="0.25">
      <c r="A34" s="14"/>
      <c r="B34" s="13" t="s">
        <v>17</v>
      </c>
      <c r="C34" s="12" t="s">
        <v>163</v>
      </c>
    </row>
    <row r="35" spans="1:3" ht="30" x14ac:dyDescent="0.25">
      <c r="A35" s="14"/>
      <c r="B35" s="13" t="s">
        <v>9</v>
      </c>
      <c r="C35" s="12" t="s">
        <v>162</v>
      </c>
    </row>
    <row r="36" spans="1:3" ht="60" x14ac:dyDescent="0.25">
      <c r="A36" s="14"/>
      <c r="B36" s="13" t="s">
        <v>129</v>
      </c>
      <c r="C36" s="12" t="s">
        <v>161</v>
      </c>
    </row>
    <row r="37" spans="1:3" x14ac:dyDescent="0.25">
      <c r="A37" s="14"/>
      <c r="B37" s="13" t="s">
        <v>59</v>
      </c>
      <c r="C37" s="12" t="s">
        <v>160</v>
      </c>
    </row>
    <row r="38" spans="1:3" x14ac:dyDescent="0.25">
      <c r="A38" s="14"/>
      <c r="B38" s="13" t="s">
        <v>60</v>
      </c>
      <c r="C38" s="12" t="s">
        <v>159</v>
      </c>
    </row>
    <row r="39" spans="1:3" ht="15" customHeight="1" x14ac:dyDescent="0.25">
      <c r="A39" s="14"/>
      <c r="B39" s="13" t="s">
        <v>90</v>
      </c>
      <c r="C39" s="22" t="s">
        <v>158</v>
      </c>
    </row>
    <row r="40" spans="1:3" ht="30" x14ac:dyDescent="0.25">
      <c r="A40" s="14"/>
      <c r="B40" s="13" t="s">
        <v>91</v>
      </c>
      <c r="C40" s="12" t="s">
        <v>157</v>
      </c>
    </row>
    <row r="41" spans="1:3" x14ac:dyDescent="0.25">
      <c r="A41" s="14"/>
      <c r="B41" s="13" t="s">
        <v>61</v>
      </c>
      <c r="C41" s="12" t="s">
        <v>156</v>
      </c>
    </row>
    <row r="42" spans="1:3" x14ac:dyDescent="0.25">
      <c r="A42" s="14"/>
      <c r="B42" s="13" t="s">
        <v>92</v>
      </c>
      <c r="C42" s="12" t="s">
        <v>155</v>
      </c>
    </row>
    <row r="43" spans="1:3" ht="45" x14ac:dyDescent="0.25">
      <c r="A43" s="14"/>
      <c r="B43" s="13" t="s">
        <v>26</v>
      </c>
      <c r="C43" s="12" t="s">
        <v>154</v>
      </c>
    </row>
    <row r="44" spans="1:3" ht="120" x14ac:dyDescent="0.25">
      <c r="A44" s="21"/>
      <c r="B44" s="20" t="s">
        <v>153</v>
      </c>
      <c r="C44" s="19" t="s">
        <v>152</v>
      </c>
    </row>
    <row r="45" spans="1:3" x14ac:dyDescent="0.25">
      <c r="A45" s="32"/>
      <c r="B45" s="45"/>
      <c r="C45" s="41"/>
    </row>
    <row r="46" spans="1:3" ht="30" x14ac:dyDescent="0.25">
      <c r="A46" s="70" t="s">
        <v>288</v>
      </c>
      <c r="B46" s="70"/>
      <c r="C46" s="22" t="s">
        <v>289</v>
      </c>
    </row>
    <row r="47" spans="1:3" x14ac:dyDescent="0.25">
      <c r="A47" s="61"/>
      <c r="B47" s="13" t="s">
        <v>241</v>
      </c>
      <c r="C47" s="12" t="s">
        <v>290</v>
      </c>
    </row>
    <row r="48" spans="1:3" ht="30" x14ac:dyDescent="0.25">
      <c r="A48" s="61"/>
      <c r="B48" s="24" t="s">
        <v>242</v>
      </c>
      <c r="C48" s="12" t="s">
        <v>291</v>
      </c>
    </row>
    <row r="49" spans="1:3" ht="30" x14ac:dyDescent="0.25">
      <c r="A49" s="61"/>
      <c r="B49" s="24" t="s">
        <v>243</v>
      </c>
      <c r="C49" s="12" t="s">
        <v>293</v>
      </c>
    </row>
    <row r="50" spans="1:3" x14ac:dyDescent="0.25">
      <c r="A50" s="62"/>
      <c r="B50" s="24" t="s">
        <v>244</v>
      </c>
      <c r="C50" s="12" t="s">
        <v>292</v>
      </c>
    </row>
    <row r="51" spans="1:3" x14ac:dyDescent="0.25">
      <c r="A51" s="62"/>
      <c r="B51" s="24" t="s">
        <v>245</v>
      </c>
      <c r="C51" s="12" t="s">
        <v>313</v>
      </c>
    </row>
    <row r="52" spans="1:3" ht="30" x14ac:dyDescent="0.25">
      <c r="A52" s="62"/>
      <c r="B52" s="24" t="s">
        <v>246</v>
      </c>
      <c r="C52" s="12" t="s">
        <v>294</v>
      </c>
    </row>
    <row r="53" spans="1:3" ht="30" x14ac:dyDescent="0.25">
      <c r="A53" s="32"/>
      <c r="B53" s="24" t="s">
        <v>314</v>
      </c>
      <c r="C53" s="19" t="s">
        <v>318</v>
      </c>
    </row>
    <row r="54" spans="1:3" ht="30" x14ac:dyDescent="0.25">
      <c r="A54" s="32"/>
      <c r="B54" s="24" t="s">
        <v>316</v>
      </c>
      <c r="C54" s="12" t="s">
        <v>320</v>
      </c>
    </row>
    <row r="55" spans="1:3" ht="30" x14ac:dyDescent="0.25">
      <c r="A55" s="32"/>
      <c r="B55" s="24" t="s">
        <v>317</v>
      </c>
      <c r="C55" s="12" t="s">
        <v>319</v>
      </c>
    </row>
    <row r="56" spans="1:3" x14ac:dyDescent="0.25">
      <c r="A56" s="32"/>
      <c r="B56" s="45"/>
      <c r="C56" s="41"/>
    </row>
    <row r="57" spans="1:3" ht="30" x14ac:dyDescent="0.25">
      <c r="A57" s="42" t="s">
        <v>295</v>
      </c>
      <c r="B57" s="45"/>
      <c r="C57" s="41" t="s">
        <v>310</v>
      </c>
    </row>
    <row r="58" spans="1:3" x14ac:dyDescent="0.25">
      <c r="A58" s="18"/>
      <c r="B58" s="17"/>
      <c r="C58" s="16"/>
    </row>
    <row r="59" spans="1:3" ht="30" x14ac:dyDescent="0.25">
      <c r="A59" s="71" t="s">
        <v>151</v>
      </c>
      <c r="B59" s="71"/>
      <c r="C59" s="15" t="s">
        <v>311</v>
      </c>
    </row>
    <row r="60" spans="1:3" ht="105" x14ac:dyDescent="0.25">
      <c r="A60" s="14"/>
      <c r="B60" s="13" t="s">
        <v>150</v>
      </c>
      <c r="C60" s="12" t="s">
        <v>192</v>
      </c>
    </row>
    <row r="61" spans="1:3" x14ac:dyDescent="0.25">
      <c r="A61" s="14"/>
      <c r="B61" s="13" t="s">
        <v>193</v>
      </c>
      <c r="C61" s="12" t="s">
        <v>194</v>
      </c>
    </row>
    <row r="62" spans="1:3" ht="30" x14ac:dyDescent="0.25">
      <c r="A62" s="14"/>
      <c r="B62" s="13" t="s">
        <v>149</v>
      </c>
      <c r="C62" s="12" t="s">
        <v>312</v>
      </c>
    </row>
    <row r="63" spans="1:3" x14ac:dyDescent="0.25">
      <c r="A63" s="14"/>
      <c r="B63" s="13" t="s">
        <v>148</v>
      </c>
      <c r="C63" s="12" t="s">
        <v>147</v>
      </c>
    </row>
    <row r="64" spans="1:3" x14ac:dyDescent="0.25">
      <c r="A64"/>
      <c r="C64"/>
    </row>
  </sheetData>
  <mergeCells count="9">
    <mergeCell ref="A32:B32"/>
    <mergeCell ref="A59:B59"/>
    <mergeCell ref="A3:C3"/>
    <mergeCell ref="A5:C5"/>
    <mergeCell ref="A7:C7"/>
    <mergeCell ref="A9:C9"/>
    <mergeCell ref="A11:B11"/>
    <mergeCell ref="A24:B24"/>
    <mergeCell ref="A46:B46"/>
  </mergeCells>
  <dataValidations count="1">
    <dataValidation type="list" allowBlank="1" showInputMessage="1" showErrorMessage="1" sqref="B35 IX35 ST35 ACP35 AML35 AWH35 BGD35 BPZ35 BZV35 CJR35 CTN35 DDJ35 DNF35 DXB35 EGX35 EQT35 FAP35 FKL35 FUH35 GED35 GNZ35 GXV35 HHR35 HRN35 IBJ35 ILF35 IVB35 JEX35 JOT35 JYP35 KIL35 KSH35 LCD35 LLZ35 LVV35 MFR35 MPN35 MZJ35 NJF35 NTB35 OCX35 OMT35 OWP35 PGL35 PQH35 QAD35 QJZ35 QTV35 RDR35 RNN35 RXJ35 SHF35 SRB35 TAX35 TKT35 TUP35 UEL35 UOH35 UYD35 VHZ35 VRV35 WBR35 WLN35 WVJ35 B65584 IX65584 ST65584 ACP65584 AML65584 AWH65584 BGD65584 BPZ65584 BZV65584 CJR65584 CTN65584 DDJ65584 DNF65584 DXB65584 EGX65584 EQT65584 FAP65584 FKL65584 FUH65584 GED65584 GNZ65584 GXV65584 HHR65584 HRN65584 IBJ65584 ILF65584 IVB65584 JEX65584 JOT65584 JYP65584 KIL65584 KSH65584 LCD65584 LLZ65584 LVV65584 MFR65584 MPN65584 MZJ65584 NJF65584 NTB65584 OCX65584 OMT65584 OWP65584 PGL65584 PQH65584 QAD65584 QJZ65584 QTV65584 RDR65584 RNN65584 RXJ65584 SHF65584 SRB65584 TAX65584 TKT65584 TUP65584 UEL65584 UOH65584 UYD65584 VHZ65584 VRV65584 WBR65584 WLN65584 WVJ65584 B131120 IX131120 ST131120 ACP131120 AML131120 AWH131120 BGD131120 BPZ131120 BZV131120 CJR131120 CTN131120 DDJ131120 DNF131120 DXB131120 EGX131120 EQT131120 FAP131120 FKL131120 FUH131120 GED131120 GNZ131120 GXV131120 HHR131120 HRN131120 IBJ131120 ILF131120 IVB131120 JEX131120 JOT131120 JYP131120 KIL131120 KSH131120 LCD131120 LLZ131120 LVV131120 MFR131120 MPN131120 MZJ131120 NJF131120 NTB131120 OCX131120 OMT131120 OWP131120 PGL131120 PQH131120 QAD131120 QJZ131120 QTV131120 RDR131120 RNN131120 RXJ131120 SHF131120 SRB131120 TAX131120 TKT131120 TUP131120 UEL131120 UOH131120 UYD131120 VHZ131120 VRV131120 WBR131120 WLN131120 WVJ131120 B196656 IX196656 ST196656 ACP196656 AML196656 AWH196656 BGD196656 BPZ196656 BZV196656 CJR196656 CTN196656 DDJ196656 DNF196656 DXB196656 EGX196656 EQT196656 FAP196656 FKL196656 FUH196656 GED196656 GNZ196656 GXV196656 HHR196656 HRN196656 IBJ196656 ILF196656 IVB196656 JEX196656 JOT196656 JYP196656 KIL196656 KSH196656 LCD196656 LLZ196656 LVV196656 MFR196656 MPN196656 MZJ196656 NJF196656 NTB196656 OCX196656 OMT196656 OWP196656 PGL196656 PQH196656 QAD196656 QJZ196656 QTV196656 RDR196656 RNN196656 RXJ196656 SHF196656 SRB196656 TAX196656 TKT196656 TUP196656 UEL196656 UOH196656 UYD196656 VHZ196656 VRV196656 WBR196656 WLN196656 WVJ196656 B262192 IX262192 ST262192 ACP262192 AML262192 AWH262192 BGD262192 BPZ262192 BZV262192 CJR262192 CTN262192 DDJ262192 DNF262192 DXB262192 EGX262192 EQT262192 FAP262192 FKL262192 FUH262192 GED262192 GNZ262192 GXV262192 HHR262192 HRN262192 IBJ262192 ILF262192 IVB262192 JEX262192 JOT262192 JYP262192 KIL262192 KSH262192 LCD262192 LLZ262192 LVV262192 MFR262192 MPN262192 MZJ262192 NJF262192 NTB262192 OCX262192 OMT262192 OWP262192 PGL262192 PQH262192 QAD262192 QJZ262192 QTV262192 RDR262192 RNN262192 RXJ262192 SHF262192 SRB262192 TAX262192 TKT262192 TUP262192 UEL262192 UOH262192 UYD262192 VHZ262192 VRV262192 WBR262192 WLN262192 WVJ262192 B327728 IX327728 ST327728 ACP327728 AML327728 AWH327728 BGD327728 BPZ327728 BZV327728 CJR327728 CTN327728 DDJ327728 DNF327728 DXB327728 EGX327728 EQT327728 FAP327728 FKL327728 FUH327728 GED327728 GNZ327728 GXV327728 HHR327728 HRN327728 IBJ327728 ILF327728 IVB327728 JEX327728 JOT327728 JYP327728 KIL327728 KSH327728 LCD327728 LLZ327728 LVV327728 MFR327728 MPN327728 MZJ327728 NJF327728 NTB327728 OCX327728 OMT327728 OWP327728 PGL327728 PQH327728 QAD327728 QJZ327728 QTV327728 RDR327728 RNN327728 RXJ327728 SHF327728 SRB327728 TAX327728 TKT327728 TUP327728 UEL327728 UOH327728 UYD327728 VHZ327728 VRV327728 WBR327728 WLN327728 WVJ327728 B393264 IX393264 ST393264 ACP393264 AML393264 AWH393264 BGD393264 BPZ393264 BZV393264 CJR393264 CTN393264 DDJ393264 DNF393264 DXB393264 EGX393264 EQT393264 FAP393264 FKL393264 FUH393264 GED393264 GNZ393264 GXV393264 HHR393264 HRN393264 IBJ393264 ILF393264 IVB393264 JEX393264 JOT393264 JYP393264 KIL393264 KSH393264 LCD393264 LLZ393264 LVV393264 MFR393264 MPN393264 MZJ393264 NJF393264 NTB393264 OCX393264 OMT393264 OWP393264 PGL393264 PQH393264 QAD393264 QJZ393264 QTV393264 RDR393264 RNN393264 RXJ393264 SHF393264 SRB393264 TAX393264 TKT393264 TUP393264 UEL393264 UOH393264 UYD393264 VHZ393264 VRV393264 WBR393264 WLN393264 WVJ393264 B458800 IX458800 ST458800 ACP458800 AML458800 AWH458800 BGD458800 BPZ458800 BZV458800 CJR458800 CTN458800 DDJ458800 DNF458800 DXB458800 EGX458800 EQT458800 FAP458800 FKL458800 FUH458800 GED458800 GNZ458800 GXV458800 HHR458800 HRN458800 IBJ458800 ILF458800 IVB458800 JEX458800 JOT458800 JYP458800 KIL458800 KSH458800 LCD458800 LLZ458800 LVV458800 MFR458800 MPN458800 MZJ458800 NJF458800 NTB458800 OCX458800 OMT458800 OWP458800 PGL458800 PQH458800 QAD458800 QJZ458800 QTV458800 RDR458800 RNN458800 RXJ458800 SHF458800 SRB458800 TAX458800 TKT458800 TUP458800 UEL458800 UOH458800 UYD458800 VHZ458800 VRV458800 WBR458800 WLN458800 WVJ458800 B524336 IX524336 ST524336 ACP524336 AML524336 AWH524336 BGD524336 BPZ524336 BZV524336 CJR524336 CTN524336 DDJ524336 DNF524336 DXB524336 EGX524336 EQT524336 FAP524336 FKL524336 FUH524336 GED524336 GNZ524336 GXV524336 HHR524336 HRN524336 IBJ524336 ILF524336 IVB524336 JEX524336 JOT524336 JYP524336 KIL524336 KSH524336 LCD524336 LLZ524336 LVV524336 MFR524336 MPN524336 MZJ524336 NJF524336 NTB524336 OCX524336 OMT524336 OWP524336 PGL524336 PQH524336 QAD524336 QJZ524336 QTV524336 RDR524336 RNN524336 RXJ524336 SHF524336 SRB524336 TAX524336 TKT524336 TUP524336 UEL524336 UOH524336 UYD524336 VHZ524336 VRV524336 WBR524336 WLN524336 WVJ524336 B589872 IX589872 ST589872 ACP589872 AML589872 AWH589872 BGD589872 BPZ589872 BZV589872 CJR589872 CTN589872 DDJ589872 DNF589872 DXB589872 EGX589872 EQT589872 FAP589872 FKL589872 FUH589872 GED589872 GNZ589872 GXV589872 HHR589872 HRN589872 IBJ589872 ILF589872 IVB589872 JEX589872 JOT589872 JYP589872 KIL589872 KSH589872 LCD589872 LLZ589872 LVV589872 MFR589872 MPN589872 MZJ589872 NJF589872 NTB589872 OCX589872 OMT589872 OWP589872 PGL589872 PQH589872 QAD589872 QJZ589872 QTV589872 RDR589872 RNN589872 RXJ589872 SHF589872 SRB589872 TAX589872 TKT589872 TUP589872 UEL589872 UOH589872 UYD589872 VHZ589872 VRV589872 WBR589872 WLN589872 WVJ589872 B655408 IX655408 ST655408 ACP655408 AML655408 AWH655408 BGD655408 BPZ655408 BZV655408 CJR655408 CTN655408 DDJ655408 DNF655408 DXB655408 EGX655408 EQT655408 FAP655408 FKL655408 FUH655408 GED655408 GNZ655408 GXV655408 HHR655408 HRN655408 IBJ655408 ILF655408 IVB655408 JEX655408 JOT655408 JYP655408 KIL655408 KSH655408 LCD655408 LLZ655408 LVV655408 MFR655408 MPN655408 MZJ655408 NJF655408 NTB655408 OCX655408 OMT655408 OWP655408 PGL655408 PQH655408 QAD655408 QJZ655408 QTV655408 RDR655408 RNN655408 RXJ655408 SHF655408 SRB655408 TAX655408 TKT655408 TUP655408 UEL655408 UOH655408 UYD655408 VHZ655408 VRV655408 WBR655408 WLN655408 WVJ655408 B720944 IX720944 ST720944 ACP720944 AML720944 AWH720944 BGD720944 BPZ720944 BZV720944 CJR720944 CTN720944 DDJ720944 DNF720944 DXB720944 EGX720944 EQT720944 FAP720944 FKL720944 FUH720944 GED720944 GNZ720944 GXV720944 HHR720944 HRN720944 IBJ720944 ILF720944 IVB720944 JEX720944 JOT720944 JYP720944 KIL720944 KSH720944 LCD720944 LLZ720944 LVV720944 MFR720944 MPN720944 MZJ720944 NJF720944 NTB720944 OCX720944 OMT720944 OWP720944 PGL720944 PQH720944 QAD720944 QJZ720944 QTV720944 RDR720944 RNN720944 RXJ720944 SHF720944 SRB720944 TAX720944 TKT720944 TUP720944 UEL720944 UOH720944 UYD720944 VHZ720944 VRV720944 WBR720944 WLN720944 WVJ720944 B786480 IX786480 ST786480 ACP786480 AML786480 AWH786480 BGD786480 BPZ786480 BZV786480 CJR786480 CTN786480 DDJ786480 DNF786480 DXB786480 EGX786480 EQT786480 FAP786480 FKL786480 FUH786480 GED786480 GNZ786480 GXV786480 HHR786480 HRN786480 IBJ786480 ILF786480 IVB786480 JEX786480 JOT786480 JYP786480 KIL786480 KSH786480 LCD786480 LLZ786480 LVV786480 MFR786480 MPN786480 MZJ786480 NJF786480 NTB786480 OCX786480 OMT786480 OWP786480 PGL786480 PQH786480 QAD786480 QJZ786480 QTV786480 RDR786480 RNN786480 RXJ786480 SHF786480 SRB786480 TAX786480 TKT786480 TUP786480 UEL786480 UOH786480 UYD786480 VHZ786480 VRV786480 WBR786480 WLN786480 WVJ786480 B852016 IX852016 ST852016 ACP852016 AML852016 AWH852016 BGD852016 BPZ852016 BZV852016 CJR852016 CTN852016 DDJ852016 DNF852016 DXB852016 EGX852016 EQT852016 FAP852016 FKL852016 FUH852016 GED852016 GNZ852016 GXV852016 HHR852016 HRN852016 IBJ852016 ILF852016 IVB852016 JEX852016 JOT852016 JYP852016 KIL852016 KSH852016 LCD852016 LLZ852016 LVV852016 MFR852016 MPN852016 MZJ852016 NJF852016 NTB852016 OCX852016 OMT852016 OWP852016 PGL852016 PQH852016 QAD852016 QJZ852016 QTV852016 RDR852016 RNN852016 RXJ852016 SHF852016 SRB852016 TAX852016 TKT852016 TUP852016 UEL852016 UOH852016 UYD852016 VHZ852016 VRV852016 WBR852016 WLN852016 WVJ852016 B917552 IX917552 ST917552 ACP917552 AML917552 AWH917552 BGD917552 BPZ917552 BZV917552 CJR917552 CTN917552 DDJ917552 DNF917552 DXB917552 EGX917552 EQT917552 FAP917552 FKL917552 FUH917552 GED917552 GNZ917552 GXV917552 HHR917552 HRN917552 IBJ917552 ILF917552 IVB917552 JEX917552 JOT917552 JYP917552 KIL917552 KSH917552 LCD917552 LLZ917552 LVV917552 MFR917552 MPN917552 MZJ917552 NJF917552 NTB917552 OCX917552 OMT917552 OWP917552 PGL917552 PQH917552 QAD917552 QJZ917552 QTV917552 RDR917552 RNN917552 RXJ917552 SHF917552 SRB917552 TAX917552 TKT917552 TUP917552 UEL917552 UOH917552 UYD917552 VHZ917552 VRV917552 WBR917552 WLN917552 WVJ917552 B983088 IX983088 ST983088 ACP983088 AML983088 AWH983088 BGD983088 BPZ983088 BZV983088 CJR983088 CTN983088 DDJ983088 DNF983088 DXB983088 EGX983088 EQT983088 FAP983088 FKL983088 FUH983088 GED983088 GNZ983088 GXV983088 HHR983088 HRN983088 IBJ983088 ILF983088 IVB983088 JEX983088 JOT983088 JYP983088 KIL983088 KSH983088 LCD983088 LLZ983088 LVV983088 MFR983088 MPN983088 MZJ983088 NJF983088 NTB983088 OCX983088 OMT983088 OWP983088 PGL983088 PQH983088 QAD983088 QJZ983088 QTV983088 RDR983088 RNN983088 RXJ983088 SHF983088 SRB983088 TAX983088 TKT983088 TUP983088 UEL983088 UOH983088 UYD983088 VHZ983088 VRV983088 WBR983088 WLN983088 WVJ983088">
      <formula1>SeriesTypes</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25"/>
  <sheetViews>
    <sheetView tabSelected="1" workbookViewId="0">
      <selection activeCell="C24" sqref="C24"/>
    </sheetView>
  </sheetViews>
  <sheetFormatPr defaultRowHeight="15" x14ac:dyDescent="0.25"/>
  <cols>
    <col min="1" max="1" width="22.42578125" bestFit="1" customWidth="1"/>
    <col min="2" max="2" width="39.85546875" style="1" bestFit="1" customWidth="1"/>
    <col min="3" max="3" width="34.5703125" customWidth="1"/>
    <col min="4" max="4" width="16.28515625" bestFit="1" customWidth="1"/>
    <col min="5" max="5" width="38.28515625" bestFit="1" customWidth="1"/>
  </cols>
  <sheetData>
    <row r="1" spans="1:5" x14ac:dyDescent="0.25">
      <c r="A1" s="2" t="s">
        <v>6</v>
      </c>
      <c r="B1" s="3" t="s">
        <v>7</v>
      </c>
    </row>
    <row r="2" spans="1:5" x14ac:dyDescent="0.25">
      <c r="A2" t="s">
        <v>2</v>
      </c>
      <c r="B2" s="4" t="s">
        <v>322</v>
      </c>
      <c r="E2" s="5"/>
    </row>
    <row r="3" spans="1:5" x14ac:dyDescent="0.25">
      <c r="A3" t="s">
        <v>3</v>
      </c>
      <c r="B3" s="4" t="s">
        <v>323</v>
      </c>
    </row>
    <row r="4" spans="1:5" x14ac:dyDescent="0.25">
      <c r="A4" t="s">
        <v>14</v>
      </c>
      <c r="B4" s="4" t="s">
        <v>324</v>
      </c>
    </row>
    <row r="5" spans="1:5" x14ac:dyDescent="0.25">
      <c r="A5" t="s">
        <v>4</v>
      </c>
      <c r="B5" s="4">
        <v>2011</v>
      </c>
    </row>
    <row r="6" spans="1:5" x14ac:dyDescent="0.25">
      <c r="A6" t="s">
        <v>57</v>
      </c>
      <c r="B6" s="4">
        <v>31</v>
      </c>
    </row>
    <row r="7" spans="1:5" x14ac:dyDescent="0.25">
      <c r="A7" t="s">
        <v>5</v>
      </c>
      <c r="B7" s="47">
        <v>100</v>
      </c>
    </row>
    <row r="8" spans="1:5" x14ac:dyDescent="0.25">
      <c r="A8" t="s">
        <v>185</v>
      </c>
      <c r="B8" s="4" t="s">
        <v>189</v>
      </c>
    </row>
    <row r="9" spans="1:5" x14ac:dyDescent="0.25">
      <c r="A9" t="s">
        <v>340</v>
      </c>
      <c r="B9" s="4" t="s">
        <v>93</v>
      </c>
      <c r="C9" s="9" t="s">
        <v>341</v>
      </c>
    </row>
    <row r="10" spans="1:5" s="37" customFormat="1" x14ac:dyDescent="0.25">
      <c r="A10" s="37" t="s">
        <v>339</v>
      </c>
      <c r="B10" s="4" t="s">
        <v>93</v>
      </c>
      <c r="C10" s="37" t="s">
        <v>342</v>
      </c>
    </row>
    <row r="11" spans="1:5" s="37" customFormat="1" x14ac:dyDescent="0.25">
      <c r="A11" s="69" t="s">
        <v>338</v>
      </c>
      <c r="B11" s="4" t="s">
        <v>337</v>
      </c>
      <c r="C11" s="37" t="s">
        <v>345</v>
      </c>
    </row>
    <row r="12" spans="1:5" s="37" customFormat="1" x14ac:dyDescent="0.25">
      <c r="A12" t="s">
        <v>343</v>
      </c>
      <c r="B12" s="4" t="s">
        <v>266</v>
      </c>
      <c r="C12" s="37" t="s">
        <v>346</v>
      </c>
    </row>
    <row r="13" spans="1:5" x14ac:dyDescent="0.25">
      <c r="B13"/>
    </row>
    <row r="14" spans="1:5" x14ac:dyDescent="0.25">
      <c r="B14" s="7" t="s">
        <v>134</v>
      </c>
      <c r="C14" s="7" t="s">
        <v>135</v>
      </c>
      <c r="D14" s="8" t="s">
        <v>186</v>
      </c>
      <c r="E14" s="8" t="str">
        <f>"Relation to Threshold Signifying " &amp; B8</f>
        <v>Relation to Threshold Signifying Default</v>
      </c>
    </row>
    <row r="15" spans="1:5" x14ac:dyDescent="0.25">
      <c r="A15" s="27" t="s">
        <v>136</v>
      </c>
      <c r="B15" s="28" t="s">
        <v>1</v>
      </c>
      <c r="C15" s="29" t="s">
        <v>137</v>
      </c>
      <c r="D15" s="29">
        <v>0.3</v>
      </c>
      <c r="E15" s="30" t="s">
        <v>195</v>
      </c>
    </row>
    <row r="16" spans="1:5" x14ac:dyDescent="0.25">
      <c r="A16" s="9" t="s">
        <v>138</v>
      </c>
      <c r="B16" s="6" t="s">
        <v>0</v>
      </c>
      <c r="C16" s="10" t="s">
        <v>139</v>
      </c>
      <c r="D16" s="75"/>
      <c r="E16" s="76"/>
    </row>
    <row r="17" spans="1:5" x14ac:dyDescent="0.25">
      <c r="A17" s="9" t="s">
        <v>140</v>
      </c>
      <c r="B17" s="6" t="s">
        <v>141</v>
      </c>
      <c r="C17" s="10" t="s">
        <v>142</v>
      </c>
      <c r="D17" s="77"/>
      <c r="E17" s="78"/>
    </row>
    <row r="18" spans="1:5" x14ac:dyDescent="0.25">
      <c r="A18" s="9" t="s">
        <v>143</v>
      </c>
      <c r="B18" s="6" t="s">
        <v>144</v>
      </c>
      <c r="C18" s="10" t="s">
        <v>145</v>
      </c>
      <c r="D18" s="77"/>
      <c r="E18" s="78"/>
    </row>
    <row r="19" spans="1:5" x14ac:dyDescent="0.25">
      <c r="A19" s="9" t="s">
        <v>146</v>
      </c>
      <c r="B19" s="6" t="s">
        <v>284</v>
      </c>
      <c r="C19" s="10" t="s">
        <v>248</v>
      </c>
      <c r="D19" s="77"/>
      <c r="E19" s="78"/>
    </row>
    <row r="21" spans="1:5" x14ac:dyDescent="0.25">
      <c r="B21" s="39" t="s">
        <v>285</v>
      </c>
    </row>
    <row r="22" spans="1:5" x14ac:dyDescent="0.25">
      <c r="B22" s="38"/>
    </row>
    <row r="25" spans="1:5" x14ac:dyDescent="0.25">
      <c r="A25" s="37"/>
    </row>
  </sheetData>
  <mergeCells count="1">
    <mergeCell ref="D16:E19"/>
  </mergeCells>
  <dataValidations count="4">
    <dataValidation type="whole" errorStyle="warning" allowBlank="1" showInputMessage="1" showErrorMessage="1" errorTitle="Warning" error="Show Projection Details should be set to &quot;N&quot; when running a large number of trials." sqref="B7">
      <formula1>1</formula1>
      <formula2>1000</formula2>
    </dataValidation>
    <dataValidation allowBlank="1" showInputMessage="1" showErrorMessage="1" promptTitle="Warning" prompt="Value Should Be Set to &quot;N&quot; When Running a Large Number of Trials." sqref="B9"/>
    <dataValidation allowBlank="1" showErrorMessage="1" sqref="B10"/>
    <dataValidation allowBlank="1" showErrorMessage="1" promptTitle="Warning" prompt="Value Should Be Set to &quot;N&quot; When Running a Large Number of Trials." sqref="B11 B12"/>
  </dataValidations>
  <pageMargins left="0.7" right="0.7" top="0.75" bottom="0.75" header="0.3" footer="0.3"/>
  <pageSetup paperSize="9" orientation="portrait" horizontalDpi="360" verticalDpi="360" r:id="rId1"/>
  <drawing r:id="rId2"/>
  <legacyDrawing r:id="rId3"/>
  <controls>
    <mc:AlternateContent xmlns:mc="http://schemas.openxmlformats.org/markup-compatibility/2006">
      <mc:Choice Requires="x14">
        <control shapeId="2049" r:id="rId4" name="CommandButtonPanel">
          <controlPr defaultSize="0" autoLine="0" r:id="rId5">
            <anchor moveWithCells="1">
              <from>
                <xdr:col>1</xdr:col>
                <xdr:colOff>257175</xdr:colOff>
                <xdr:row>23</xdr:row>
                <xdr:rowOff>0</xdr:rowOff>
              </from>
              <to>
                <xdr:col>1</xdr:col>
                <xdr:colOff>2400300</xdr:colOff>
                <xdr:row>25</xdr:row>
                <xdr:rowOff>0</xdr:rowOff>
              </to>
            </anchor>
          </controlPr>
        </control>
      </mc:Choice>
      <mc:Fallback>
        <control shapeId="2049" r:id="rId4" name="CommandButtonPanel"/>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P43"/>
  <sheetViews>
    <sheetView zoomScale="75" zoomScaleNormal="75" workbookViewId="0">
      <pane xSplit="1" ySplit="1" topLeftCell="D8" activePane="bottomRight" state="frozen"/>
      <selection pane="topRight" activeCell="B1" sqref="B1"/>
      <selection pane="bottomLeft" activeCell="A2" sqref="A2"/>
      <selection pane="bottomRight" activeCell="J47" sqref="J47"/>
    </sheetView>
  </sheetViews>
  <sheetFormatPr defaultRowHeight="15" x14ac:dyDescent="0.25"/>
  <cols>
    <col min="1" max="1" width="23.140625" style="37" bestFit="1" customWidth="1"/>
    <col min="2" max="2" width="63" style="37" bestFit="1" customWidth="1"/>
    <col min="3" max="3" width="17" style="37" bestFit="1" customWidth="1"/>
    <col min="4" max="4" width="19.28515625" style="37" bestFit="1" customWidth="1"/>
    <col min="5" max="5" width="9.5703125" style="37" bestFit="1" customWidth="1"/>
    <col min="6" max="6" width="9.85546875" style="37" bestFit="1" customWidth="1"/>
    <col min="7" max="7" width="13.42578125" style="37" bestFit="1" customWidth="1"/>
    <col min="8" max="8" width="22.42578125" style="37" bestFit="1" customWidth="1"/>
    <col min="9" max="9" width="56.5703125" style="37" bestFit="1" customWidth="1"/>
    <col min="10" max="10" width="21.5703125" style="37" bestFit="1" customWidth="1"/>
    <col min="11" max="11" width="16.85546875" style="63" bestFit="1" customWidth="1"/>
    <col min="12" max="42" width="98.7109375" style="46" customWidth="1"/>
    <col min="43" max="44" width="9.140625" style="37"/>
    <col min="45" max="56" width="9.28515625" style="37" bestFit="1" customWidth="1"/>
    <col min="57" max="76" width="10.42578125" style="37" bestFit="1" customWidth="1"/>
    <col min="77" max="16384" width="9.140625" style="37"/>
  </cols>
  <sheetData>
    <row r="1" spans="1:42" s="2" customFormat="1" x14ac:dyDescent="0.25">
      <c r="A1" s="2" t="s">
        <v>8</v>
      </c>
      <c r="B1" s="2" t="s">
        <v>17</v>
      </c>
      <c r="C1" s="48" t="s">
        <v>9</v>
      </c>
      <c r="D1" s="3" t="s">
        <v>129</v>
      </c>
      <c r="E1" s="3" t="s">
        <v>59</v>
      </c>
      <c r="F1" s="3" t="s">
        <v>60</v>
      </c>
      <c r="G1" s="3" t="s">
        <v>90</v>
      </c>
      <c r="H1" s="3" t="s">
        <v>91</v>
      </c>
      <c r="I1" s="48" t="s">
        <v>61</v>
      </c>
      <c r="J1" s="3" t="s">
        <v>92</v>
      </c>
      <c r="K1" s="3" t="s">
        <v>26</v>
      </c>
      <c r="L1" s="3" t="s">
        <v>27</v>
      </c>
      <c r="M1" s="3" t="s">
        <v>28</v>
      </c>
      <c r="N1" s="3" t="s">
        <v>29</v>
      </c>
      <c r="O1" s="3" t="s">
        <v>30</v>
      </c>
      <c r="P1" s="3" t="s">
        <v>31</v>
      </c>
      <c r="Q1" s="3" t="s">
        <v>32</v>
      </c>
      <c r="R1" s="3" t="s">
        <v>33</v>
      </c>
      <c r="S1" s="3" t="s">
        <v>34</v>
      </c>
      <c r="T1" s="3" t="s">
        <v>35</v>
      </c>
      <c r="U1" s="3" t="s">
        <v>36</v>
      </c>
      <c r="V1" s="3" t="s">
        <v>37</v>
      </c>
      <c r="W1" s="3" t="s">
        <v>38</v>
      </c>
      <c r="X1" s="3" t="s">
        <v>39</v>
      </c>
      <c r="Y1" s="3" t="s">
        <v>40</v>
      </c>
      <c r="Z1" s="3" t="s">
        <v>41</v>
      </c>
      <c r="AA1" s="3" t="s">
        <v>42</v>
      </c>
      <c r="AB1" s="3" t="s">
        <v>43</v>
      </c>
      <c r="AC1" s="3" t="s">
        <v>44</v>
      </c>
      <c r="AD1" s="3" t="s">
        <v>45</v>
      </c>
      <c r="AE1" s="3" t="s">
        <v>46</v>
      </c>
      <c r="AF1" s="3" t="s">
        <v>47</v>
      </c>
      <c r="AG1" s="3" t="s">
        <v>48</v>
      </c>
      <c r="AH1" s="3" t="s">
        <v>49</v>
      </c>
      <c r="AI1" s="3" t="s">
        <v>50</v>
      </c>
      <c r="AJ1" s="3" t="s">
        <v>51</v>
      </c>
      <c r="AK1" s="3" t="s">
        <v>52</v>
      </c>
      <c r="AL1" s="3" t="s">
        <v>53</v>
      </c>
      <c r="AM1" s="3" t="s">
        <v>54</v>
      </c>
      <c r="AN1" s="3" t="s">
        <v>55</v>
      </c>
      <c r="AO1" s="3" t="s">
        <v>56</v>
      </c>
      <c r="AP1" s="3" t="s">
        <v>117</v>
      </c>
    </row>
    <row r="2" spans="1:42" x14ac:dyDescent="0.25">
      <c r="A2" s="49" t="s">
        <v>196</v>
      </c>
      <c r="B2" s="49" t="s">
        <v>197</v>
      </c>
      <c r="C2" s="50" t="s">
        <v>58</v>
      </c>
      <c r="D2" s="51" t="s">
        <v>131</v>
      </c>
      <c r="E2" s="51"/>
      <c r="F2" s="51"/>
      <c r="G2" s="51">
        <v>0</v>
      </c>
      <c r="H2" s="51">
        <v>0.5</v>
      </c>
      <c r="I2" s="49" t="s">
        <v>198</v>
      </c>
      <c r="J2" s="51" t="s">
        <v>93</v>
      </c>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row>
    <row r="3" spans="1:42" x14ac:dyDescent="0.25">
      <c r="A3" s="49" t="s">
        <v>296</v>
      </c>
      <c r="B3" s="49" t="s">
        <v>297</v>
      </c>
      <c r="C3" s="50" t="s">
        <v>58</v>
      </c>
      <c r="D3" s="51" t="s">
        <v>131</v>
      </c>
      <c r="E3" s="51"/>
      <c r="F3" s="51"/>
      <c r="G3" s="51">
        <v>0</v>
      </c>
      <c r="H3" s="51">
        <v>0.5</v>
      </c>
      <c r="I3" s="49" t="s">
        <v>298</v>
      </c>
      <c r="J3" s="51" t="s">
        <v>93</v>
      </c>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row>
    <row r="4" spans="1:42" x14ac:dyDescent="0.25">
      <c r="A4" s="49" t="s">
        <v>199</v>
      </c>
      <c r="B4" s="49" t="s">
        <v>200</v>
      </c>
      <c r="C4" s="50" t="s">
        <v>58</v>
      </c>
      <c r="D4" s="51" t="s">
        <v>131</v>
      </c>
      <c r="E4" s="51"/>
      <c r="F4" s="51"/>
      <c r="G4" s="51">
        <v>0</v>
      </c>
      <c r="H4" s="51">
        <v>0.5</v>
      </c>
      <c r="I4" s="49" t="s">
        <v>201</v>
      </c>
      <c r="J4" s="51" t="s">
        <v>93</v>
      </c>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row>
    <row r="5" spans="1:42" x14ac:dyDescent="0.25">
      <c r="A5" s="49" t="s">
        <v>202</v>
      </c>
      <c r="B5" s="49" t="s">
        <v>203</v>
      </c>
      <c r="C5" s="50" t="s">
        <v>58</v>
      </c>
      <c r="D5" s="51" t="s">
        <v>131</v>
      </c>
      <c r="E5" s="51"/>
      <c r="F5" s="51"/>
      <c r="G5" s="51">
        <v>0</v>
      </c>
      <c r="H5" s="51">
        <v>0.5</v>
      </c>
      <c r="I5" s="49" t="s">
        <v>204</v>
      </c>
      <c r="J5" s="51" t="s">
        <v>93</v>
      </c>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row>
    <row r="6" spans="1:42" x14ac:dyDescent="0.25">
      <c r="A6" s="49" t="s">
        <v>206</v>
      </c>
      <c r="B6" s="49" t="s">
        <v>207</v>
      </c>
      <c r="C6" s="50" t="s">
        <v>58</v>
      </c>
      <c r="D6" s="51" t="s">
        <v>131</v>
      </c>
      <c r="E6" s="51"/>
      <c r="F6" s="51"/>
      <c r="G6" s="51">
        <v>0</v>
      </c>
      <c r="H6" s="51">
        <v>0.5</v>
      </c>
      <c r="I6" s="49" t="s">
        <v>205</v>
      </c>
      <c r="J6" s="51" t="s">
        <v>93</v>
      </c>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row>
    <row r="7" spans="1:42" x14ac:dyDescent="0.25">
      <c r="A7" s="49" t="s">
        <v>208</v>
      </c>
      <c r="B7" s="49" t="s">
        <v>209</v>
      </c>
      <c r="C7" s="50" t="s">
        <v>12</v>
      </c>
      <c r="D7" s="51" t="s">
        <v>210</v>
      </c>
      <c r="E7" s="51"/>
      <c r="F7" s="51"/>
      <c r="G7" s="51"/>
      <c r="H7" s="51"/>
      <c r="I7" s="50" t="s">
        <v>211</v>
      </c>
      <c r="J7" s="51" t="s">
        <v>93</v>
      </c>
      <c r="K7" s="51">
        <v>31</v>
      </c>
      <c r="L7" s="51">
        <v>32</v>
      </c>
      <c r="M7" s="51">
        <v>33</v>
      </c>
      <c r="N7" s="51">
        <v>34</v>
      </c>
      <c r="O7" s="51">
        <v>35</v>
      </c>
      <c r="P7" s="51">
        <v>36</v>
      </c>
      <c r="Q7" s="51">
        <v>37</v>
      </c>
      <c r="R7" s="51">
        <v>38</v>
      </c>
      <c r="S7" s="51">
        <v>39</v>
      </c>
      <c r="T7" s="51">
        <v>40</v>
      </c>
      <c r="U7" s="51">
        <v>41</v>
      </c>
      <c r="V7" s="51">
        <v>42</v>
      </c>
      <c r="W7" s="51">
        <v>43</v>
      </c>
      <c r="X7" s="51">
        <v>44</v>
      </c>
      <c r="Y7" s="51">
        <v>45</v>
      </c>
      <c r="Z7" s="51">
        <v>46</v>
      </c>
      <c r="AA7" s="51">
        <v>47</v>
      </c>
      <c r="AB7" s="51">
        <v>48</v>
      </c>
      <c r="AC7" s="51">
        <v>49</v>
      </c>
      <c r="AD7" s="51">
        <v>50</v>
      </c>
      <c r="AE7" s="51">
        <v>51</v>
      </c>
      <c r="AF7" s="51">
        <v>52</v>
      </c>
      <c r="AG7" s="51">
        <v>53</v>
      </c>
      <c r="AH7" s="51">
        <v>54</v>
      </c>
      <c r="AI7" s="51">
        <v>55</v>
      </c>
      <c r="AJ7" s="51">
        <v>56</v>
      </c>
      <c r="AK7" s="51">
        <v>57</v>
      </c>
      <c r="AL7" s="51">
        <v>58</v>
      </c>
      <c r="AM7" s="51">
        <v>59</v>
      </c>
      <c r="AN7" s="51">
        <v>60</v>
      </c>
      <c r="AO7" s="51">
        <v>61</v>
      </c>
      <c r="AP7" s="51">
        <v>62</v>
      </c>
    </row>
    <row r="8" spans="1:42" x14ac:dyDescent="0.25">
      <c r="A8" s="49" t="s">
        <v>212</v>
      </c>
      <c r="B8" s="49" t="s">
        <v>213</v>
      </c>
      <c r="C8" s="50" t="s">
        <v>12</v>
      </c>
      <c r="D8" s="51" t="s">
        <v>133</v>
      </c>
      <c r="E8" s="51"/>
      <c r="F8" s="51"/>
      <c r="G8" s="51"/>
      <c r="H8" s="51"/>
      <c r="I8" s="50" t="s">
        <v>325</v>
      </c>
      <c r="J8" s="51" t="s">
        <v>93</v>
      </c>
      <c r="K8" s="65">
        <v>288844</v>
      </c>
      <c r="L8" s="65">
        <v>294941</v>
      </c>
      <c r="M8" s="65">
        <v>301117</v>
      </c>
      <c r="N8" s="65">
        <v>307530</v>
      </c>
      <c r="O8" s="65">
        <v>312004</v>
      </c>
      <c r="P8" s="65">
        <v>316517</v>
      </c>
      <c r="Q8" s="65">
        <v>320911</v>
      </c>
      <c r="R8" s="65">
        <v>325187</v>
      </c>
      <c r="S8" s="65">
        <v>329186</v>
      </c>
      <c r="T8" s="65">
        <v>332907</v>
      </c>
      <c r="U8" s="65">
        <v>336312</v>
      </c>
      <c r="V8" s="65">
        <v>339281</v>
      </c>
      <c r="W8" s="65">
        <v>341854</v>
      </c>
      <c r="X8" s="65">
        <v>343992</v>
      </c>
      <c r="Y8" s="65">
        <v>345694</v>
      </c>
      <c r="Z8" s="65">
        <v>346961</v>
      </c>
      <c r="AA8" s="65">
        <v>347832</v>
      </c>
      <c r="AB8" s="65">
        <v>348347</v>
      </c>
      <c r="AC8" s="65">
        <v>348624</v>
      </c>
      <c r="AD8" s="65">
        <v>348743</v>
      </c>
      <c r="AE8" s="65">
        <v>348822</v>
      </c>
      <c r="AF8" s="65">
        <v>348980</v>
      </c>
      <c r="AG8" s="65">
        <v>349376</v>
      </c>
      <c r="AH8" s="65">
        <v>350049</v>
      </c>
      <c r="AI8" s="65">
        <v>351078</v>
      </c>
      <c r="AJ8" s="65">
        <v>352583</v>
      </c>
      <c r="AK8" s="65">
        <v>353856</v>
      </c>
      <c r="AL8" s="65">
        <v>355010</v>
      </c>
      <c r="AM8" s="65">
        <v>356090</v>
      </c>
      <c r="AN8" s="65">
        <v>357214</v>
      </c>
      <c r="AO8" s="65">
        <v>358292</v>
      </c>
      <c r="AP8" s="65">
        <v>359339</v>
      </c>
    </row>
    <row r="9" spans="1:42" x14ac:dyDescent="0.25">
      <c r="A9" s="49" t="s">
        <v>99</v>
      </c>
      <c r="B9" s="49" t="s">
        <v>100</v>
      </c>
      <c r="C9" s="50" t="s">
        <v>12</v>
      </c>
      <c r="D9" s="51" t="s">
        <v>133</v>
      </c>
      <c r="E9" s="51"/>
      <c r="F9" s="51"/>
      <c r="G9" s="51"/>
      <c r="H9" s="51"/>
      <c r="I9" s="50" t="s">
        <v>325</v>
      </c>
      <c r="J9" s="51" t="s">
        <v>93</v>
      </c>
      <c r="K9" s="65">
        <v>944215</v>
      </c>
      <c r="L9" s="65">
        <v>940311</v>
      </c>
      <c r="M9" s="65">
        <v>938319</v>
      </c>
      <c r="N9" s="65">
        <v>937761</v>
      </c>
      <c r="O9" s="65">
        <v>939633</v>
      </c>
      <c r="P9" s="65">
        <v>943657</v>
      </c>
      <c r="Q9" s="65">
        <v>950670</v>
      </c>
      <c r="R9" s="65">
        <v>959714</v>
      </c>
      <c r="S9" s="65">
        <v>970431</v>
      </c>
      <c r="T9" s="65">
        <v>981826</v>
      </c>
      <c r="U9" s="65">
        <v>995213</v>
      </c>
      <c r="V9" s="65">
        <v>1009277</v>
      </c>
      <c r="W9" s="65">
        <v>1023700</v>
      </c>
      <c r="X9" s="65">
        <v>1037326</v>
      </c>
      <c r="Y9" s="65">
        <v>1051589</v>
      </c>
      <c r="Z9" s="65">
        <v>1065614</v>
      </c>
      <c r="AA9" s="65">
        <v>1080276</v>
      </c>
      <c r="AB9" s="65">
        <v>1094180</v>
      </c>
      <c r="AC9" s="65">
        <v>1107607</v>
      </c>
      <c r="AD9" s="65">
        <v>1118484</v>
      </c>
      <c r="AE9" s="65">
        <v>1128484</v>
      </c>
      <c r="AF9" s="65">
        <v>1137688</v>
      </c>
      <c r="AG9" s="65">
        <v>1145935</v>
      </c>
      <c r="AH9" s="65">
        <v>1153306</v>
      </c>
      <c r="AI9" s="65">
        <v>1159720</v>
      </c>
      <c r="AJ9" s="65">
        <v>1165418</v>
      </c>
      <c r="AK9" s="65">
        <v>1170246</v>
      </c>
      <c r="AL9" s="65">
        <v>1174573</v>
      </c>
      <c r="AM9" s="65">
        <v>1178909</v>
      </c>
      <c r="AN9" s="65">
        <v>1183527</v>
      </c>
      <c r="AO9" s="65">
        <v>1188977</v>
      </c>
      <c r="AP9" s="65">
        <v>1195539</v>
      </c>
    </row>
    <row r="10" spans="1:42" x14ac:dyDescent="0.25">
      <c r="A10" s="49" t="s">
        <v>214</v>
      </c>
      <c r="B10" s="49" t="s">
        <v>215</v>
      </c>
      <c r="C10" s="50" t="s">
        <v>12</v>
      </c>
      <c r="D10" s="51" t="s">
        <v>133</v>
      </c>
      <c r="E10" s="51"/>
      <c r="F10" s="51"/>
      <c r="G10" s="51"/>
      <c r="H10" s="51"/>
      <c r="I10" s="50" t="s">
        <v>325</v>
      </c>
      <c r="J10" s="51" t="s">
        <v>93</v>
      </c>
      <c r="K10" s="65">
        <v>4465284</v>
      </c>
      <c r="L10" s="65">
        <v>4528552</v>
      </c>
      <c r="M10" s="65">
        <v>4590545</v>
      </c>
      <c r="N10" s="65">
        <v>4650544</v>
      </c>
      <c r="O10" s="65">
        <v>4709825</v>
      </c>
      <c r="P10" s="65">
        <v>4766914</v>
      </c>
      <c r="Q10" s="65">
        <v>4823166</v>
      </c>
      <c r="R10" s="65">
        <v>4878660</v>
      </c>
      <c r="S10" s="65">
        <v>4934632</v>
      </c>
      <c r="T10" s="65">
        <v>4990366</v>
      </c>
      <c r="U10" s="65">
        <v>5046697</v>
      </c>
      <c r="V10" s="65">
        <v>5102430</v>
      </c>
      <c r="W10" s="65">
        <v>5159041</v>
      </c>
      <c r="X10" s="65">
        <v>5216169</v>
      </c>
      <c r="Y10" s="65">
        <v>5275730</v>
      </c>
      <c r="Z10" s="65">
        <v>5335968</v>
      </c>
      <c r="AA10" s="65">
        <v>5396725</v>
      </c>
      <c r="AB10" s="65">
        <v>5458039</v>
      </c>
      <c r="AC10" s="65">
        <v>5519793</v>
      </c>
      <c r="AD10" s="65">
        <v>5582024</v>
      </c>
      <c r="AE10" s="65">
        <v>5644535</v>
      </c>
      <c r="AF10" s="65">
        <v>5707245</v>
      </c>
      <c r="AG10" s="65">
        <v>5770154</v>
      </c>
      <c r="AH10" s="65">
        <v>5832944</v>
      </c>
      <c r="AI10" s="65">
        <v>5895654</v>
      </c>
      <c r="AJ10" s="65">
        <v>5958045</v>
      </c>
      <c r="AK10" s="65">
        <v>6011191</v>
      </c>
      <c r="AL10" s="65">
        <v>6059574</v>
      </c>
      <c r="AM10" s="65">
        <v>6105123</v>
      </c>
      <c r="AN10" s="65">
        <v>6152704</v>
      </c>
      <c r="AO10" s="65">
        <v>6198582</v>
      </c>
      <c r="AP10" s="65">
        <v>6243283</v>
      </c>
    </row>
    <row r="11" spans="1:42" x14ac:dyDescent="0.25">
      <c r="A11" s="49" t="s">
        <v>101</v>
      </c>
      <c r="B11" s="49" t="s">
        <v>102</v>
      </c>
      <c r="C11" s="50" t="s">
        <v>12</v>
      </c>
      <c r="D11" s="51" t="s">
        <v>133</v>
      </c>
      <c r="E11" s="51"/>
      <c r="F11" s="51"/>
      <c r="G11" s="51"/>
      <c r="H11" s="51"/>
      <c r="I11" s="50" t="s">
        <v>325</v>
      </c>
      <c r="J11" s="51" t="s">
        <v>93</v>
      </c>
      <c r="K11" s="65">
        <v>946243</v>
      </c>
      <c r="L11" s="65">
        <v>985645</v>
      </c>
      <c r="M11" s="65">
        <v>1023297</v>
      </c>
      <c r="N11" s="65">
        <v>1059198</v>
      </c>
      <c r="O11" s="65">
        <v>1095600</v>
      </c>
      <c r="P11" s="65">
        <v>1133001</v>
      </c>
      <c r="Q11" s="65">
        <v>1171003</v>
      </c>
      <c r="R11" s="65">
        <v>1211705</v>
      </c>
      <c r="S11" s="65">
        <v>1255007</v>
      </c>
      <c r="T11" s="65">
        <v>1300909</v>
      </c>
      <c r="U11" s="65">
        <v>1347211</v>
      </c>
      <c r="V11" s="65">
        <v>1395713</v>
      </c>
      <c r="W11" s="65">
        <v>1445416</v>
      </c>
      <c r="X11" s="65">
        <v>1496068</v>
      </c>
      <c r="Y11" s="65">
        <v>1549270</v>
      </c>
      <c r="Z11" s="65">
        <v>1604223</v>
      </c>
      <c r="AA11" s="65">
        <v>1658825</v>
      </c>
      <c r="AB11" s="65">
        <v>1716378</v>
      </c>
      <c r="AC11" s="65">
        <v>1772881</v>
      </c>
      <c r="AD11" s="65">
        <v>1825383</v>
      </c>
      <c r="AE11" s="65">
        <v>1870285</v>
      </c>
      <c r="AF11" s="65">
        <v>1909087</v>
      </c>
      <c r="AG11" s="65">
        <v>1945738</v>
      </c>
      <c r="AH11" s="65">
        <v>1981490</v>
      </c>
      <c r="AI11" s="65">
        <v>2016892</v>
      </c>
      <c r="AJ11" s="65">
        <v>2051343</v>
      </c>
      <c r="AK11" s="65">
        <v>2080879</v>
      </c>
      <c r="AL11" s="65">
        <v>2107913</v>
      </c>
      <c r="AM11" s="65">
        <v>2133489</v>
      </c>
      <c r="AN11" s="65">
        <v>2160328</v>
      </c>
      <c r="AO11" s="65">
        <v>2186329</v>
      </c>
      <c r="AP11" s="65">
        <v>2211778</v>
      </c>
    </row>
    <row r="12" spans="1:42" s="49" customFormat="1" x14ac:dyDescent="0.25">
      <c r="A12" s="49" t="s">
        <v>216</v>
      </c>
      <c r="B12" s="49" t="s">
        <v>217</v>
      </c>
      <c r="C12" s="50" t="s">
        <v>12</v>
      </c>
      <c r="D12" s="51" t="s">
        <v>133</v>
      </c>
      <c r="E12" s="51"/>
      <c r="F12" s="51"/>
      <c r="G12" s="51"/>
      <c r="H12" s="51"/>
      <c r="I12" s="50" t="s">
        <v>325</v>
      </c>
      <c r="J12" s="51" t="s">
        <v>93</v>
      </c>
      <c r="K12" s="65">
        <f>K10-K11</f>
        <v>3519041</v>
      </c>
      <c r="L12" s="65">
        <f t="shared" ref="L12:AP12" si="0">L10-L11</f>
        <v>3542907</v>
      </c>
      <c r="M12" s="65">
        <f t="shared" si="0"/>
        <v>3567248</v>
      </c>
      <c r="N12" s="65">
        <f t="shared" si="0"/>
        <v>3591346</v>
      </c>
      <c r="O12" s="65">
        <f t="shared" si="0"/>
        <v>3614225</v>
      </c>
      <c r="P12" s="65">
        <f t="shared" si="0"/>
        <v>3633913</v>
      </c>
      <c r="Q12" s="65">
        <f t="shared" si="0"/>
        <v>3652163</v>
      </c>
      <c r="R12" s="65">
        <f t="shared" si="0"/>
        <v>3666955</v>
      </c>
      <c r="S12" s="65">
        <f t="shared" si="0"/>
        <v>3679625</v>
      </c>
      <c r="T12" s="65">
        <f t="shared" si="0"/>
        <v>3689457</v>
      </c>
      <c r="U12" s="65">
        <f t="shared" si="0"/>
        <v>3699486</v>
      </c>
      <c r="V12" s="65">
        <f t="shared" si="0"/>
        <v>3706717</v>
      </c>
      <c r="W12" s="65">
        <f t="shared" si="0"/>
        <v>3713625</v>
      </c>
      <c r="X12" s="65">
        <f t="shared" si="0"/>
        <v>3720101</v>
      </c>
      <c r="Y12" s="65">
        <f t="shared" si="0"/>
        <v>3726460</v>
      </c>
      <c r="Z12" s="65">
        <f t="shared" si="0"/>
        <v>3731745</v>
      </c>
      <c r="AA12" s="65">
        <f t="shared" si="0"/>
        <v>3737900</v>
      </c>
      <c r="AB12" s="65">
        <f t="shared" si="0"/>
        <v>3741661</v>
      </c>
      <c r="AC12" s="65">
        <f t="shared" si="0"/>
        <v>3746912</v>
      </c>
      <c r="AD12" s="65">
        <f t="shared" si="0"/>
        <v>3756641</v>
      </c>
      <c r="AE12" s="65">
        <f t="shared" si="0"/>
        <v>3774250</v>
      </c>
      <c r="AF12" s="65">
        <f t="shared" si="0"/>
        <v>3798158</v>
      </c>
      <c r="AG12" s="65">
        <f t="shared" si="0"/>
        <v>3824416</v>
      </c>
      <c r="AH12" s="65">
        <f t="shared" si="0"/>
        <v>3851454</v>
      </c>
      <c r="AI12" s="65">
        <f t="shared" si="0"/>
        <v>3878762</v>
      </c>
      <c r="AJ12" s="65">
        <f t="shared" si="0"/>
        <v>3906702</v>
      </c>
      <c r="AK12" s="65">
        <f t="shared" si="0"/>
        <v>3930312</v>
      </c>
      <c r="AL12" s="65">
        <f t="shared" si="0"/>
        <v>3951661</v>
      </c>
      <c r="AM12" s="65">
        <f t="shared" si="0"/>
        <v>3971634</v>
      </c>
      <c r="AN12" s="65">
        <f t="shared" si="0"/>
        <v>3992376</v>
      </c>
      <c r="AO12" s="65">
        <f t="shared" si="0"/>
        <v>4012253</v>
      </c>
      <c r="AP12" s="65">
        <f t="shared" si="0"/>
        <v>4031505</v>
      </c>
    </row>
    <row r="13" spans="1:42" s="49" customFormat="1" x14ac:dyDescent="0.25">
      <c r="A13" s="37" t="s">
        <v>18</v>
      </c>
      <c r="B13" s="37" t="s">
        <v>16</v>
      </c>
      <c r="C13" s="50" t="s">
        <v>12</v>
      </c>
      <c r="D13" s="51" t="s">
        <v>133</v>
      </c>
      <c r="E13" s="51"/>
      <c r="F13" s="51"/>
      <c r="G13" s="51"/>
      <c r="H13" s="51"/>
      <c r="I13" s="50" t="s">
        <v>325</v>
      </c>
      <c r="J13" s="51" t="s">
        <v>93</v>
      </c>
      <c r="K13" s="65">
        <f>SUM(K8:K11)</f>
        <v>6644586</v>
      </c>
      <c r="L13" s="65">
        <f t="shared" ref="L13:AP13" si="1">SUM(L8:L11)</f>
        <v>6749449</v>
      </c>
      <c r="M13" s="65">
        <f t="shared" si="1"/>
        <v>6853278</v>
      </c>
      <c r="N13" s="65">
        <f t="shared" si="1"/>
        <v>6955033</v>
      </c>
      <c r="O13" s="65">
        <f t="shared" si="1"/>
        <v>7057062</v>
      </c>
      <c r="P13" s="65">
        <f t="shared" si="1"/>
        <v>7160089</v>
      </c>
      <c r="Q13" s="65">
        <f t="shared" si="1"/>
        <v>7265750</v>
      </c>
      <c r="R13" s="65">
        <f t="shared" si="1"/>
        <v>7375266</v>
      </c>
      <c r="S13" s="65">
        <f t="shared" si="1"/>
        <v>7489256</v>
      </c>
      <c r="T13" s="65">
        <f t="shared" si="1"/>
        <v>7606008</v>
      </c>
      <c r="U13" s="65">
        <f t="shared" si="1"/>
        <v>7725433</v>
      </c>
      <c r="V13" s="65">
        <f t="shared" si="1"/>
        <v>7846701</v>
      </c>
      <c r="W13" s="65">
        <f t="shared" si="1"/>
        <v>7970011</v>
      </c>
      <c r="X13" s="65">
        <f t="shared" si="1"/>
        <v>8093555</v>
      </c>
      <c r="Y13" s="65">
        <f t="shared" si="1"/>
        <v>8222283</v>
      </c>
      <c r="Z13" s="65">
        <f t="shared" si="1"/>
        <v>8352766</v>
      </c>
      <c r="AA13" s="65">
        <f t="shared" si="1"/>
        <v>8483658</v>
      </c>
      <c r="AB13" s="65">
        <f t="shared" si="1"/>
        <v>8616944</v>
      </c>
      <c r="AC13" s="65">
        <f t="shared" si="1"/>
        <v>8748905</v>
      </c>
      <c r="AD13" s="65">
        <f t="shared" si="1"/>
        <v>8874634</v>
      </c>
      <c r="AE13" s="65">
        <f t="shared" si="1"/>
        <v>8992126</v>
      </c>
      <c r="AF13" s="65">
        <f t="shared" si="1"/>
        <v>9103000</v>
      </c>
      <c r="AG13" s="65">
        <f t="shared" si="1"/>
        <v>9211203</v>
      </c>
      <c r="AH13" s="65">
        <f t="shared" si="1"/>
        <v>9317789</v>
      </c>
      <c r="AI13" s="65">
        <f t="shared" si="1"/>
        <v>9423344</v>
      </c>
      <c r="AJ13" s="65">
        <f t="shared" si="1"/>
        <v>9527389</v>
      </c>
      <c r="AK13" s="65">
        <f t="shared" si="1"/>
        <v>9616172</v>
      </c>
      <c r="AL13" s="65">
        <f t="shared" si="1"/>
        <v>9697070</v>
      </c>
      <c r="AM13" s="65">
        <f t="shared" si="1"/>
        <v>9773611</v>
      </c>
      <c r="AN13" s="65">
        <f t="shared" si="1"/>
        <v>9853773</v>
      </c>
      <c r="AO13" s="65">
        <f t="shared" si="1"/>
        <v>9932180</v>
      </c>
      <c r="AP13" s="65">
        <f t="shared" si="1"/>
        <v>10009939</v>
      </c>
    </row>
    <row r="14" spans="1:42" s="49" customFormat="1" x14ac:dyDescent="0.25">
      <c r="A14" s="49" t="s">
        <v>218</v>
      </c>
      <c r="B14" s="49" t="s">
        <v>219</v>
      </c>
      <c r="C14" s="50" t="s">
        <v>12</v>
      </c>
      <c r="D14" s="51" t="s">
        <v>131</v>
      </c>
      <c r="E14" s="51">
        <v>0.3</v>
      </c>
      <c r="F14" s="51">
        <v>0.9</v>
      </c>
      <c r="G14" s="51"/>
      <c r="H14" s="51"/>
      <c r="I14" s="50" t="s">
        <v>220</v>
      </c>
      <c r="J14" s="51" t="s">
        <v>93</v>
      </c>
      <c r="K14" s="67">
        <v>0.68</v>
      </c>
      <c r="L14" s="65" t="s">
        <v>299</v>
      </c>
      <c r="M14" s="66"/>
      <c r="N14" s="65"/>
      <c r="O14" s="65"/>
      <c r="P14" s="65"/>
      <c r="Q14" s="65"/>
      <c r="R14" s="65"/>
      <c r="S14" s="65"/>
      <c r="T14" s="65"/>
      <c r="U14" s="65"/>
      <c r="V14" s="65"/>
      <c r="W14" s="65"/>
      <c r="X14" s="65"/>
      <c r="Y14" s="65"/>
      <c r="Z14" s="65"/>
      <c r="AA14" s="65"/>
      <c r="AB14" s="65"/>
      <c r="AC14" s="65"/>
      <c r="AD14" s="65"/>
      <c r="AE14" s="65"/>
      <c r="AF14" s="65"/>
      <c r="AG14" s="65"/>
      <c r="AH14" s="65"/>
      <c r="AI14" s="65"/>
      <c r="AJ14" s="65"/>
      <c r="AK14" s="65"/>
      <c r="AL14" s="65"/>
      <c r="AM14" s="65"/>
      <c r="AN14" s="65"/>
      <c r="AO14" s="65"/>
      <c r="AP14" s="65"/>
    </row>
    <row r="15" spans="1:42" s="49" customFormat="1" x14ac:dyDescent="0.25">
      <c r="A15" s="49" t="s">
        <v>221</v>
      </c>
      <c r="B15" s="49" t="s">
        <v>222</v>
      </c>
      <c r="C15" s="50" t="s">
        <v>12</v>
      </c>
      <c r="D15" s="51" t="s">
        <v>131</v>
      </c>
      <c r="E15" s="51">
        <v>0.05</v>
      </c>
      <c r="F15" s="51">
        <v>0.25</v>
      </c>
      <c r="G15" s="51"/>
      <c r="H15" s="51"/>
      <c r="I15" s="50" t="s">
        <v>223</v>
      </c>
      <c r="J15" s="51" t="s">
        <v>93</v>
      </c>
      <c r="K15" s="52">
        <v>0.12</v>
      </c>
      <c r="L15" s="52" t="s">
        <v>300</v>
      </c>
      <c r="N15" s="53"/>
      <c r="O15" s="53"/>
      <c r="P15" s="53"/>
      <c r="Q15" s="53"/>
      <c r="R15" s="53"/>
      <c r="S15" s="53"/>
      <c r="T15" s="53"/>
      <c r="U15" s="53"/>
      <c r="V15" s="53"/>
      <c r="W15" s="53"/>
      <c r="X15" s="53"/>
      <c r="Y15" s="53"/>
      <c r="Z15" s="53"/>
      <c r="AA15" s="53"/>
      <c r="AB15" s="53"/>
      <c r="AC15" s="53"/>
      <c r="AD15" s="53"/>
      <c r="AE15" s="53"/>
      <c r="AF15" s="53"/>
      <c r="AG15" s="53"/>
      <c r="AH15" s="53"/>
      <c r="AI15" s="53"/>
      <c r="AJ15" s="53"/>
      <c r="AK15" s="53"/>
      <c r="AL15" s="53"/>
      <c r="AM15" s="53"/>
      <c r="AN15" s="53"/>
      <c r="AO15" s="53"/>
      <c r="AP15" s="53"/>
    </row>
    <row r="16" spans="1:42" s="49" customFormat="1" x14ac:dyDescent="0.25">
      <c r="A16" s="49" t="s">
        <v>224</v>
      </c>
      <c r="B16" s="49" t="s">
        <v>225</v>
      </c>
      <c r="C16" s="50" t="s">
        <v>12</v>
      </c>
      <c r="D16" s="51" t="s">
        <v>131</v>
      </c>
      <c r="E16" s="51">
        <v>0.4</v>
      </c>
      <c r="F16" s="51">
        <v>0.8</v>
      </c>
      <c r="G16" s="51"/>
      <c r="H16" s="51"/>
      <c r="I16" s="50" t="s">
        <v>226</v>
      </c>
      <c r="J16" s="51" t="s">
        <v>93</v>
      </c>
      <c r="K16" s="68">
        <f>K17/K10</f>
        <v>0.56132980567417434</v>
      </c>
      <c r="L16" s="54" t="s">
        <v>227</v>
      </c>
      <c r="N16" s="53"/>
      <c r="O16" s="53"/>
      <c r="P16" s="53"/>
      <c r="Q16" s="53"/>
      <c r="R16" s="53"/>
      <c r="S16" s="53"/>
      <c r="T16" s="53"/>
      <c r="U16" s="53"/>
      <c r="V16" s="53"/>
      <c r="W16" s="53"/>
      <c r="X16" s="53"/>
      <c r="Y16" s="53"/>
      <c r="Z16" s="53"/>
      <c r="AA16" s="53"/>
      <c r="AB16" s="53"/>
      <c r="AC16" s="53"/>
      <c r="AD16" s="53"/>
      <c r="AE16" s="53"/>
      <c r="AF16" s="53"/>
      <c r="AG16" s="53"/>
      <c r="AH16" s="53"/>
      <c r="AI16" s="53"/>
      <c r="AJ16" s="53"/>
      <c r="AK16" s="53"/>
      <c r="AL16" s="53"/>
      <c r="AM16" s="53"/>
      <c r="AN16" s="53"/>
      <c r="AO16" s="53"/>
      <c r="AP16" s="53"/>
    </row>
    <row r="17" spans="1:42" s="49" customFormat="1" x14ac:dyDescent="0.25">
      <c r="A17" s="49" t="s">
        <v>228</v>
      </c>
      <c r="B17" s="49" t="s">
        <v>229</v>
      </c>
      <c r="C17" s="50" t="s">
        <v>12</v>
      </c>
      <c r="D17" s="51" t="s">
        <v>133</v>
      </c>
      <c r="E17" s="51"/>
      <c r="F17" s="51"/>
      <c r="G17" s="51"/>
      <c r="H17" s="51"/>
      <c r="I17" s="50" t="s">
        <v>230</v>
      </c>
      <c r="J17" s="51" t="s">
        <v>93</v>
      </c>
      <c r="K17" s="53">
        <f>ROUND(K12*K14+K11*K15,0)</f>
        <v>2506497</v>
      </c>
      <c r="L17" s="53" t="s">
        <v>231</v>
      </c>
      <c r="N17" s="53"/>
      <c r="O17" s="53"/>
      <c r="P17" s="53"/>
      <c r="Q17" s="53"/>
      <c r="R17" s="53"/>
      <c r="S17" s="53"/>
      <c r="T17" s="53"/>
      <c r="U17" s="53"/>
      <c r="V17" s="53"/>
      <c r="W17" s="53"/>
      <c r="X17" s="53"/>
      <c r="Y17" s="53"/>
      <c r="Z17" s="53"/>
      <c r="AA17" s="53"/>
      <c r="AB17" s="53"/>
      <c r="AC17" s="53"/>
      <c r="AD17" s="53"/>
      <c r="AE17" s="53"/>
      <c r="AF17" s="53"/>
      <c r="AG17" s="53"/>
      <c r="AH17" s="53"/>
      <c r="AI17" s="53"/>
      <c r="AJ17" s="53"/>
      <c r="AK17" s="53"/>
      <c r="AL17" s="53"/>
      <c r="AM17" s="53"/>
      <c r="AN17" s="53"/>
      <c r="AO17" s="53"/>
      <c r="AP17" s="53"/>
    </row>
    <row r="18" spans="1:42" s="49" customFormat="1" x14ac:dyDescent="0.25">
      <c r="A18" s="49" t="s">
        <v>301</v>
      </c>
      <c r="B18" s="49" t="s">
        <v>302</v>
      </c>
      <c r="C18" s="50" t="s">
        <v>12</v>
      </c>
      <c r="D18" s="51" t="s">
        <v>131</v>
      </c>
      <c r="E18" s="51">
        <v>0.01</v>
      </c>
      <c r="F18" s="51">
        <v>0.25</v>
      </c>
      <c r="G18" s="51"/>
      <c r="H18" s="51"/>
      <c r="I18" s="50" t="s">
        <v>220</v>
      </c>
      <c r="J18" s="51" t="s">
        <v>93</v>
      </c>
      <c r="K18" s="52">
        <v>8.5999999999999993E-2</v>
      </c>
      <c r="L18" s="55" t="s">
        <v>303</v>
      </c>
      <c r="N18" s="53"/>
      <c r="O18" s="53"/>
      <c r="P18" s="53"/>
      <c r="Q18" s="53"/>
      <c r="R18" s="53"/>
      <c r="S18" s="53"/>
      <c r="T18" s="53"/>
      <c r="U18" s="53"/>
      <c r="V18" s="53"/>
      <c r="W18" s="53"/>
      <c r="X18" s="53"/>
      <c r="Y18" s="53"/>
      <c r="Z18" s="53"/>
      <c r="AA18" s="53"/>
      <c r="AB18" s="53"/>
      <c r="AC18" s="53"/>
      <c r="AD18" s="53"/>
      <c r="AE18" s="53"/>
      <c r="AF18" s="53"/>
      <c r="AG18" s="53"/>
      <c r="AH18" s="53"/>
      <c r="AI18" s="53"/>
      <c r="AJ18" s="53"/>
      <c r="AK18" s="53"/>
      <c r="AL18" s="53"/>
      <c r="AM18" s="53"/>
      <c r="AN18" s="53"/>
      <c r="AO18" s="53"/>
      <c r="AP18" s="53"/>
    </row>
    <row r="19" spans="1:42" s="49" customFormat="1" x14ac:dyDescent="0.25">
      <c r="A19" s="49" t="s">
        <v>304</v>
      </c>
      <c r="B19" s="49" t="s">
        <v>305</v>
      </c>
      <c r="C19" s="50" t="s">
        <v>12</v>
      </c>
      <c r="D19" s="51" t="s">
        <v>133</v>
      </c>
      <c r="E19" s="51"/>
      <c r="F19" s="51"/>
      <c r="G19" s="51"/>
      <c r="H19" s="51"/>
      <c r="I19" s="50" t="s">
        <v>306</v>
      </c>
      <c r="J19" s="51" t="s">
        <v>93</v>
      </c>
      <c r="K19" s="53">
        <f>ROUND(K17*(1-K18),0)</f>
        <v>2290938</v>
      </c>
      <c r="L19" s="53" t="s">
        <v>307</v>
      </c>
      <c r="N19" s="53"/>
      <c r="O19" s="53"/>
      <c r="P19" s="53"/>
      <c r="Q19" s="53"/>
      <c r="R19" s="53"/>
      <c r="S19" s="53"/>
      <c r="T19" s="53"/>
      <c r="U19" s="53"/>
      <c r="V19" s="53"/>
      <c r="W19" s="53"/>
      <c r="X19" s="53"/>
      <c r="Y19" s="53"/>
      <c r="Z19" s="53"/>
      <c r="AA19" s="53"/>
      <c r="AB19" s="53"/>
      <c r="AC19" s="53"/>
      <c r="AD19" s="53"/>
      <c r="AE19" s="53"/>
      <c r="AF19" s="53"/>
      <c r="AG19" s="53"/>
      <c r="AH19" s="53"/>
      <c r="AI19" s="53"/>
      <c r="AJ19" s="53"/>
      <c r="AK19" s="53"/>
      <c r="AL19" s="53"/>
      <c r="AM19" s="53"/>
      <c r="AN19" s="53"/>
      <c r="AO19" s="53"/>
      <c r="AP19" s="53"/>
    </row>
    <row r="20" spans="1:42" s="49" customFormat="1" x14ac:dyDescent="0.25">
      <c r="A20" s="49" t="s">
        <v>232</v>
      </c>
      <c r="B20" s="49" t="s">
        <v>233</v>
      </c>
      <c r="C20" s="50" t="s">
        <v>12</v>
      </c>
      <c r="D20" s="51" t="s">
        <v>131</v>
      </c>
      <c r="E20" s="51">
        <v>-0.01</v>
      </c>
      <c r="F20" s="51">
        <v>0.05</v>
      </c>
      <c r="G20" s="51"/>
      <c r="H20" s="51"/>
      <c r="I20" s="50" t="s">
        <v>220</v>
      </c>
      <c r="J20" s="51" t="s">
        <v>93</v>
      </c>
      <c r="K20" s="57">
        <v>9.1000000000000004E-3</v>
      </c>
      <c r="L20" s="53" t="s">
        <v>234</v>
      </c>
      <c r="N20" s="53"/>
      <c r="O20" s="53"/>
      <c r="P20" s="53"/>
      <c r="Q20" s="53"/>
      <c r="R20" s="53"/>
      <c r="S20" s="53"/>
      <c r="T20" s="53"/>
      <c r="U20" s="53"/>
      <c r="V20" s="53"/>
      <c r="W20" s="53"/>
      <c r="X20" s="53"/>
      <c r="Y20" s="53"/>
      <c r="Z20" s="53"/>
      <c r="AA20" s="53"/>
      <c r="AB20" s="53"/>
      <c r="AC20" s="53"/>
      <c r="AD20" s="53"/>
      <c r="AE20" s="53"/>
      <c r="AF20" s="53"/>
      <c r="AG20" s="53"/>
      <c r="AH20" s="53"/>
      <c r="AI20" s="53"/>
      <c r="AJ20" s="53"/>
      <c r="AK20" s="53"/>
      <c r="AL20" s="53"/>
      <c r="AM20" s="53"/>
      <c r="AN20" s="53"/>
      <c r="AO20" s="53"/>
      <c r="AP20" s="53"/>
    </row>
    <row r="21" spans="1:42" s="49" customFormat="1" x14ac:dyDescent="0.25">
      <c r="A21" s="37" t="s">
        <v>77</v>
      </c>
      <c r="B21" s="37" t="s">
        <v>78</v>
      </c>
      <c r="C21" s="50" t="s">
        <v>12</v>
      </c>
      <c r="D21" s="51" t="s">
        <v>131</v>
      </c>
      <c r="E21" s="51"/>
      <c r="F21" s="51"/>
      <c r="G21" s="51"/>
      <c r="H21" s="51"/>
      <c r="I21" s="50" t="s">
        <v>235</v>
      </c>
      <c r="J21" s="51" t="s">
        <v>93</v>
      </c>
      <c r="K21" s="55">
        <v>1.7999999999999999E-2</v>
      </c>
      <c r="L21" s="56" t="s">
        <v>308</v>
      </c>
      <c r="N21" s="53"/>
      <c r="O21" s="53"/>
      <c r="P21" s="53"/>
      <c r="Q21" s="53"/>
      <c r="R21" s="53"/>
      <c r="S21" s="53"/>
      <c r="T21" s="53"/>
      <c r="U21" s="53"/>
      <c r="V21" s="53"/>
      <c r="W21" s="53"/>
      <c r="X21" s="53"/>
      <c r="Y21" s="53"/>
      <c r="Z21" s="53"/>
      <c r="AA21" s="53"/>
      <c r="AB21" s="53"/>
      <c r="AC21" s="53"/>
      <c r="AD21" s="53"/>
      <c r="AE21" s="53"/>
      <c r="AF21" s="53"/>
      <c r="AG21" s="53"/>
      <c r="AH21" s="53"/>
      <c r="AI21" s="53"/>
      <c r="AJ21" s="53"/>
      <c r="AK21" s="53"/>
      <c r="AL21" s="53"/>
      <c r="AM21" s="53"/>
      <c r="AN21" s="53"/>
      <c r="AO21" s="53"/>
      <c r="AP21" s="53"/>
    </row>
    <row r="22" spans="1:42" s="49" customFormat="1" x14ac:dyDescent="0.25">
      <c r="A22" s="37" t="s">
        <v>80</v>
      </c>
      <c r="B22" s="37" t="s">
        <v>79</v>
      </c>
      <c r="C22" s="50" t="s">
        <v>12</v>
      </c>
      <c r="D22" s="51" t="s">
        <v>132</v>
      </c>
      <c r="E22" s="51"/>
      <c r="F22" s="51"/>
      <c r="G22" s="51"/>
      <c r="H22" s="51"/>
      <c r="I22" s="50" t="s">
        <v>74</v>
      </c>
      <c r="J22" s="51" t="s">
        <v>93</v>
      </c>
      <c r="K22" s="65">
        <v>400000000000</v>
      </c>
      <c r="L22" s="46" t="s">
        <v>87</v>
      </c>
      <c r="N22" s="53"/>
      <c r="O22" s="53"/>
      <c r="P22" s="53"/>
      <c r="Q22" s="53"/>
      <c r="R22" s="53"/>
      <c r="S22" s="53"/>
      <c r="T22" s="53"/>
      <c r="U22" s="53"/>
      <c r="V22" s="53"/>
      <c r="W22" s="53"/>
      <c r="X22" s="53"/>
      <c r="Y22" s="53"/>
      <c r="Z22" s="53"/>
      <c r="AA22" s="53"/>
      <c r="AB22" s="53"/>
      <c r="AC22" s="53"/>
      <c r="AD22" s="53"/>
      <c r="AE22" s="53"/>
      <c r="AF22" s="53"/>
      <c r="AG22" s="53"/>
      <c r="AH22" s="53"/>
      <c r="AI22" s="53"/>
      <c r="AJ22" s="53"/>
      <c r="AK22" s="53"/>
      <c r="AL22" s="53"/>
      <c r="AM22" s="53"/>
      <c r="AN22" s="53"/>
      <c r="AO22" s="53"/>
      <c r="AP22" s="53"/>
    </row>
    <row r="23" spans="1:42" s="5" customFormat="1" x14ac:dyDescent="0.25">
      <c r="A23" s="5" t="s">
        <v>19</v>
      </c>
      <c r="B23" s="5" t="s">
        <v>70</v>
      </c>
      <c r="C23" s="33" t="s">
        <v>12</v>
      </c>
      <c r="D23" s="34" t="s">
        <v>131</v>
      </c>
      <c r="E23" s="34"/>
      <c r="F23" s="34"/>
      <c r="G23" s="34"/>
      <c r="H23" s="34"/>
      <c r="I23" s="33" t="s">
        <v>236</v>
      </c>
      <c r="J23" s="34" t="s">
        <v>93</v>
      </c>
      <c r="K23" s="52">
        <v>3.3000000000000002E-2</v>
      </c>
      <c r="L23" s="35" t="s">
        <v>237</v>
      </c>
      <c r="N23" s="53"/>
      <c r="O23" s="53"/>
      <c r="P23" s="53"/>
      <c r="Q23" s="53"/>
      <c r="R23" s="53"/>
      <c r="S23" s="53"/>
      <c r="T23" s="53"/>
      <c r="U23" s="53"/>
      <c r="V23" s="53"/>
      <c r="W23" s="53"/>
      <c r="X23" s="53"/>
      <c r="Y23" s="53"/>
      <c r="Z23" s="53"/>
      <c r="AA23" s="53"/>
      <c r="AB23" s="53"/>
      <c r="AC23" s="53"/>
      <c r="AD23" s="53"/>
      <c r="AE23" s="53"/>
      <c r="AF23" s="53"/>
      <c r="AG23" s="53"/>
      <c r="AH23" s="53"/>
      <c r="AI23" s="53"/>
      <c r="AJ23" s="53"/>
      <c r="AK23" s="53"/>
      <c r="AL23" s="53"/>
      <c r="AM23" s="53"/>
      <c r="AN23" s="53"/>
      <c r="AO23" s="53"/>
      <c r="AP23" s="53"/>
    </row>
    <row r="24" spans="1:42" x14ac:dyDescent="0.25">
      <c r="A24" s="37" t="s">
        <v>94</v>
      </c>
      <c r="B24" s="37" t="s">
        <v>95</v>
      </c>
      <c r="C24" s="50" t="s">
        <v>12</v>
      </c>
      <c r="D24" s="51" t="s">
        <v>130</v>
      </c>
      <c r="E24" s="51"/>
      <c r="F24" s="51"/>
      <c r="G24" s="51"/>
      <c r="H24" s="51"/>
      <c r="I24" s="50" t="s">
        <v>75</v>
      </c>
      <c r="J24" s="51" t="s">
        <v>93</v>
      </c>
      <c r="K24" s="53">
        <v>100</v>
      </c>
      <c r="L24" s="46" t="s">
        <v>96</v>
      </c>
      <c r="N24" s="53"/>
      <c r="O24" s="53"/>
      <c r="P24" s="53"/>
      <c r="Q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row>
    <row r="25" spans="1:42" x14ac:dyDescent="0.25">
      <c r="A25" s="37" t="s">
        <v>15</v>
      </c>
      <c r="B25" s="37" t="s">
        <v>65</v>
      </c>
      <c r="C25" s="50" t="s">
        <v>12</v>
      </c>
      <c r="D25" s="51" t="s">
        <v>132</v>
      </c>
      <c r="E25" s="51"/>
      <c r="F25" s="51"/>
      <c r="G25" s="51"/>
      <c r="H25" s="51"/>
      <c r="I25" s="50" t="s">
        <v>81</v>
      </c>
      <c r="J25" s="51" t="s">
        <v>93</v>
      </c>
      <c r="K25" s="65">
        <f>K22</f>
        <v>400000000000</v>
      </c>
      <c r="L25" s="46" t="s">
        <v>89</v>
      </c>
      <c r="N25" s="53"/>
      <c r="O25" s="53"/>
      <c r="P25" s="53"/>
      <c r="Q25" s="53"/>
      <c r="R25" s="53"/>
      <c r="S25" s="53"/>
      <c r="T25" s="53"/>
      <c r="U25" s="53"/>
      <c r="V25" s="53"/>
      <c r="W25" s="53"/>
      <c r="X25" s="53"/>
      <c r="Y25" s="53"/>
      <c r="Z25" s="53"/>
      <c r="AA25" s="53"/>
      <c r="AB25" s="53"/>
      <c r="AC25" s="53"/>
      <c r="AD25" s="53"/>
      <c r="AE25" s="53"/>
      <c r="AF25" s="53"/>
      <c r="AG25" s="53"/>
      <c r="AH25" s="53"/>
      <c r="AI25" s="53"/>
      <c r="AJ25" s="53"/>
      <c r="AK25" s="53"/>
      <c r="AL25" s="53"/>
      <c r="AM25" s="53"/>
      <c r="AN25" s="53"/>
      <c r="AO25" s="53"/>
      <c r="AP25" s="53"/>
    </row>
    <row r="26" spans="1:42" x14ac:dyDescent="0.25">
      <c r="A26" s="37" t="s">
        <v>71</v>
      </c>
      <c r="B26" s="37" t="s">
        <v>72</v>
      </c>
      <c r="C26" s="50" t="s">
        <v>12</v>
      </c>
      <c r="D26" s="51" t="s">
        <v>131</v>
      </c>
      <c r="E26" s="51"/>
      <c r="F26" s="51"/>
      <c r="G26" s="51"/>
      <c r="H26" s="51"/>
      <c r="I26" s="50" t="s">
        <v>103</v>
      </c>
      <c r="J26" s="51" t="s">
        <v>93</v>
      </c>
      <c r="K26" s="53">
        <v>0</v>
      </c>
      <c r="L26" s="46" t="s">
        <v>309</v>
      </c>
      <c r="N26" s="53"/>
      <c r="O26" s="53"/>
      <c r="P26" s="53"/>
      <c r="Q26" s="53"/>
      <c r="R26" s="53"/>
      <c r="S26" s="53"/>
      <c r="T26" s="53"/>
      <c r="U26" s="53"/>
      <c r="V26" s="53"/>
      <c r="W26" s="53"/>
      <c r="X26" s="53"/>
      <c r="Y26" s="53"/>
      <c r="Z26" s="53"/>
      <c r="AA26" s="53"/>
      <c r="AB26" s="53"/>
      <c r="AC26" s="53"/>
      <c r="AD26" s="53"/>
      <c r="AE26" s="53"/>
      <c r="AF26" s="53"/>
      <c r="AG26" s="53"/>
      <c r="AH26" s="53"/>
      <c r="AI26" s="53"/>
      <c r="AJ26" s="53"/>
      <c r="AK26" s="53"/>
      <c r="AL26" s="53"/>
      <c r="AM26" s="53"/>
      <c r="AN26" s="53"/>
      <c r="AO26" s="53"/>
      <c r="AP26" s="53"/>
    </row>
    <row r="27" spans="1:42" x14ac:dyDescent="0.25">
      <c r="A27" s="37" t="s">
        <v>82</v>
      </c>
      <c r="B27" s="37" t="s">
        <v>73</v>
      </c>
      <c r="C27" s="50" t="s">
        <v>12</v>
      </c>
      <c r="D27" s="51" t="s">
        <v>130</v>
      </c>
      <c r="E27" s="51"/>
      <c r="F27" s="51"/>
      <c r="G27" s="51"/>
      <c r="H27" s="51"/>
      <c r="I27" s="50" t="s">
        <v>76</v>
      </c>
      <c r="J27" s="51" t="s">
        <v>93</v>
      </c>
      <c r="K27" s="53">
        <v>100</v>
      </c>
      <c r="L27" s="46" t="s">
        <v>88</v>
      </c>
      <c r="N27" s="53"/>
      <c r="O27" s="53"/>
      <c r="P27" s="53"/>
      <c r="Q27" s="53"/>
      <c r="R27" s="53"/>
      <c r="S27" s="53"/>
      <c r="T27" s="53"/>
      <c r="U27" s="53"/>
      <c r="V27" s="53"/>
      <c r="W27" s="53"/>
      <c r="X27" s="53"/>
      <c r="Y27" s="53"/>
      <c r="Z27" s="53"/>
      <c r="AA27" s="53"/>
      <c r="AB27" s="53"/>
      <c r="AC27" s="53"/>
      <c r="AD27" s="53"/>
      <c r="AE27" s="53"/>
      <c r="AF27" s="53"/>
      <c r="AG27" s="53"/>
      <c r="AH27" s="53"/>
      <c r="AI27" s="53"/>
      <c r="AJ27" s="53"/>
      <c r="AK27" s="53"/>
      <c r="AL27" s="53"/>
      <c r="AM27" s="53"/>
      <c r="AN27" s="53"/>
      <c r="AO27" s="53"/>
      <c r="AP27" s="53"/>
    </row>
    <row r="28" spans="1:42" x14ac:dyDescent="0.25">
      <c r="A28" s="37" t="s">
        <v>118</v>
      </c>
      <c r="B28" s="37" t="s">
        <v>119</v>
      </c>
      <c r="C28" s="50" t="s">
        <v>12</v>
      </c>
      <c r="D28" s="51" t="s">
        <v>131</v>
      </c>
      <c r="E28" s="51">
        <v>0.01</v>
      </c>
      <c r="F28" s="51"/>
      <c r="G28" s="51"/>
      <c r="H28" s="51"/>
      <c r="I28" s="50" t="s">
        <v>120</v>
      </c>
      <c r="J28" s="51" t="s">
        <v>93</v>
      </c>
      <c r="K28" s="52">
        <v>3.5000000000000003E-2</v>
      </c>
      <c r="L28" s="56" t="s">
        <v>329</v>
      </c>
      <c r="N28" s="56"/>
      <c r="O28" s="56"/>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row>
    <row r="29" spans="1:42" x14ac:dyDescent="0.25">
      <c r="A29" s="37" t="s">
        <v>126</v>
      </c>
      <c r="B29" s="37" t="s">
        <v>127</v>
      </c>
      <c r="C29" s="50" t="s">
        <v>12</v>
      </c>
      <c r="D29" s="51" t="s">
        <v>131</v>
      </c>
      <c r="E29" s="51"/>
      <c r="F29" s="51"/>
      <c r="G29" s="51"/>
      <c r="H29" s="51"/>
      <c r="I29" s="50" t="s">
        <v>121</v>
      </c>
      <c r="J29" s="51" t="s">
        <v>93</v>
      </c>
      <c r="K29" s="57">
        <v>0.2</v>
      </c>
      <c r="L29" s="57">
        <v>0.2</v>
      </c>
      <c r="N29" s="57"/>
      <c r="O29" s="57"/>
      <c r="P29" s="57"/>
      <c r="Q29" s="57"/>
      <c r="R29" s="57"/>
      <c r="S29" s="57"/>
      <c r="T29" s="57"/>
      <c r="U29" s="57"/>
      <c r="V29" s="57"/>
      <c r="W29" s="57"/>
      <c r="X29" s="57"/>
      <c r="Y29" s="57"/>
      <c r="Z29" s="57"/>
      <c r="AA29" s="57"/>
      <c r="AB29" s="57"/>
      <c r="AC29" s="57"/>
      <c r="AD29" s="57"/>
      <c r="AE29" s="57"/>
      <c r="AF29" s="57"/>
      <c r="AG29" s="57"/>
      <c r="AH29" s="57"/>
      <c r="AI29" s="57"/>
      <c r="AJ29" s="57"/>
      <c r="AK29" s="57"/>
      <c r="AL29" s="57"/>
      <c r="AM29" s="57"/>
      <c r="AN29" s="57"/>
      <c r="AO29" s="57"/>
      <c r="AP29" s="57"/>
    </row>
    <row r="30" spans="1:42" x14ac:dyDescent="0.25">
      <c r="A30" s="37" t="s">
        <v>122</v>
      </c>
      <c r="B30" s="37" t="s">
        <v>124</v>
      </c>
      <c r="C30" s="37" t="s">
        <v>12</v>
      </c>
      <c r="D30" s="51" t="s">
        <v>131</v>
      </c>
      <c r="E30" s="46">
        <v>0.01</v>
      </c>
      <c r="F30" s="46">
        <v>0.2</v>
      </c>
      <c r="G30" s="46"/>
      <c r="H30" s="46"/>
      <c r="I30" s="58" t="s">
        <v>125</v>
      </c>
      <c r="J30" s="51" t="s">
        <v>93</v>
      </c>
      <c r="K30" s="57">
        <v>0.05</v>
      </c>
      <c r="L30" s="56" t="s">
        <v>128</v>
      </c>
      <c r="N30" s="53"/>
      <c r="O30" s="53"/>
      <c r="P30" s="53"/>
      <c r="Q30" s="53"/>
      <c r="R30" s="53"/>
      <c r="S30" s="53"/>
      <c r="T30" s="53"/>
      <c r="U30" s="53"/>
      <c r="V30" s="53"/>
      <c r="W30" s="53"/>
      <c r="X30" s="53"/>
      <c r="Y30" s="53"/>
      <c r="Z30" s="53"/>
      <c r="AA30" s="53"/>
      <c r="AB30" s="53"/>
      <c r="AC30" s="53"/>
      <c r="AD30" s="53"/>
      <c r="AE30" s="53"/>
      <c r="AF30" s="53"/>
      <c r="AG30" s="53"/>
      <c r="AH30" s="53"/>
      <c r="AI30" s="53"/>
      <c r="AJ30" s="53"/>
      <c r="AK30" s="53"/>
      <c r="AL30" s="53"/>
      <c r="AM30" s="53"/>
      <c r="AN30" s="53"/>
      <c r="AO30" s="53"/>
      <c r="AP30" s="53"/>
    </row>
    <row r="31" spans="1:42" x14ac:dyDescent="0.25">
      <c r="A31" s="37" t="s">
        <v>104</v>
      </c>
      <c r="B31" s="37" t="s">
        <v>105</v>
      </c>
      <c r="C31" s="50" t="s">
        <v>11</v>
      </c>
      <c r="D31" s="51" t="s">
        <v>132</v>
      </c>
      <c r="E31" s="46"/>
      <c r="F31" s="46"/>
      <c r="G31" s="46"/>
      <c r="H31" s="46"/>
      <c r="I31" s="58" t="s">
        <v>106</v>
      </c>
      <c r="J31" s="51" t="s">
        <v>93</v>
      </c>
      <c r="K31" s="65">
        <v>16000000000</v>
      </c>
      <c r="L31" s="46" t="s">
        <v>331</v>
      </c>
      <c r="N31" s="53"/>
      <c r="O31" s="53"/>
      <c r="P31" s="53"/>
      <c r="Q31" s="53"/>
      <c r="R31" s="53"/>
      <c r="S31" s="53"/>
      <c r="T31" s="53"/>
      <c r="U31" s="53"/>
      <c r="V31" s="53"/>
      <c r="W31" s="53"/>
      <c r="X31" s="53"/>
      <c r="Y31" s="53"/>
      <c r="Z31" s="53"/>
      <c r="AA31" s="53"/>
      <c r="AB31" s="53"/>
      <c r="AC31" s="53"/>
      <c r="AD31" s="53"/>
      <c r="AE31" s="53"/>
      <c r="AF31" s="53"/>
      <c r="AG31" s="53"/>
      <c r="AH31" s="53"/>
      <c r="AI31" s="53"/>
      <c r="AJ31" s="53"/>
      <c r="AK31" s="53"/>
      <c r="AL31" s="53"/>
      <c r="AM31" s="53"/>
      <c r="AN31" s="53"/>
      <c r="AO31" s="53"/>
      <c r="AP31" s="53"/>
    </row>
    <row r="32" spans="1:42" x14ac:dyDescent="0.25">
      <c r="A32" s="37" t="s">
        <v>97</v>
      </c>
      <c r="B32" s="37" t="s">
        <v>98</v>
      </c>
      <c r="C32" s="37" t="s">
        <v>11</v>
      </c>
      <c r="D32" s="51" t="s">
        <v>132</v>
      </c>
      <c r="E32" s="46"/>
      <c r="F32" s="46"/>
      <c r="G32" s="46"/>
      <c r="H32" s="46"/>
      <c r="I32" s="58" t="s">
        <v>106</v>
      </c>
      <c r="J32" s="51" t="s">
        <v>93</v>
      </c>
      <c r="K32" s="65">
        <v>20000000000</v>
      </c>
      <c r="L32" s="46" t="s">
        <v>332</v>
      </c>
      <c r="N32" s="53"/>
      <c r="O32" s="53"/>
      <c r="P32" s="53"/>
      <c r="Q32" s="53"/>
      <c r="R32" s="53"/>
      <c r="S32" s="53"/>
      <c r="T32" s="53"/>
      <c r="U32" s="53"/>
      <c r="V32" s="53"/>
      <c r="W32" s="53"/>
      <c r="X32" s="53"/>
      <c r="Y32" s="53"/>
      <c r="Z32" s="53"/>
      <c r="AA32" s="53"/>
      <c r="AB32" s="53"/>
      <c r="AC32" s="53"/>
      <c r="AD32" s="53"/>
      <c r="AE32" s="53"/>
      <c r="AF32" s="53"/>
      <c r="AG32" s="53"/>
      <c r="AH32" s="53"/>
      <c r="AI32" s="53"/>
      <c r="AJ32" s="53"/>
      <c r="AK32" s="53"/>
      <c r="AL32" s="53"/>
      <c r="AM32" s="53"/>
      <c r="AN32" s="53"/>
      <c r="AO32" s="53"/>
      <c r="AP32" s="53"/>
    </row>
    <row r="33" spans="1:42" x14ac:dyDescent="0.25">
      <c r="A33" s="37" t="s">
        <v>20</v>
      </c>
      <c r="B33" s="37" t="s">
        <v>21</v>
      </c>
      <c r="C33" s="37" t="s">
        <v>11</v>
      </c>
      <c r="D33" s="51" t="s">
        <v>132</v>
      </c>
      <c r="E33" s="46"/>
      <c r="F33" s="46"/>
      <c r="G33" s="46"/>
      <c r="H33" s="46"/>
      <c r="I33" s="58" t="s">
        <v>106</v>
      </c>
      <c r="J33" s="51" t="s">
        <v>93</v>
      </c>
      <c r="K33" s="65">
        <v>6000000000</v>
      </c>
      <c r="L33" s="46" t="s">
        <v>333</v>
      </c>
      <c r="N33" s="53"/>
      <c r="O33" s="53"/>
      <c r="P33" s="53"/>
      <c r="Q33" s="53"/>
      <c r="R33" s="53"/>
      <c r="S33" s="53"/>
      <c r="T33" s="53"/>
      <c r="U33" s="53"/>
      <c r="V33" s="53"/>
      <c r="W33" s="53"/>
      <c r="X33" s="53"/>
      <c r="Y33" s="53"/>
      <c r="Z33" s="53"/>
      <c r="AA33" s="53"/>
      <c r="AB33" s="53"/>
      <c r="AC33" s="53"/>
      <c r="AD33" s="53"/>
      <c r="AE33" s="53"/>
      <c r="AF33" s="53"/>
      <c r="AG33" s="53"/>
      <c r="AH33" s="53"/>
      <c r="AI33" s="53"/>
      <c r="AJ33" s="53"/>
      <c r="AK33" s="53"/>
      <c r="AL33" s="53"/>
      <c r="AM33" s="53"/>
      <c r="AN33" s="53"/>
      <c r="AO33" s="53"/>
      <c r="AP33" s="53"/>
    </row>
    <row r="34" spans="1:42" x14ac:dyDescent="0.25">
      <c r="A34" s="37" t="s">
        <v>107</v>
      </c>
      <c r="B34" s="37" t="s">
        <v>108</v>
      </c>
      <c r="C34" s="37" t="s">
        <v>11</v>
      </c>
      <c r="D34" s="51" t="s">
        <v>132</v>
      </c>
      <c r="E34" s="46"/>
      <c r="F34" s="46"/>
      <c r="G34" s="46"/>
      <c r="H34" s="46"/>
      <c r="I34" s="58" t="s">
        <v>106</v>
      </c>
      <c r="J34" s="51" t="s">
        <v>93</v>
      </c>
      <c r="K34" s="65">
        <v>18000000000</v>
      </c>
      <c r="L34" s="46" t="s">
        <v>334</v>
      </c>
      <c r="N34" s="53"/>
      <c r="O34" s="53"/>
      <c r="P34" s="53"/>
      <c r="Q34" s="53"/>
      <c r="R34" s="53"/>
      <c r="S34" s="53"/>
      <c r="T34" s="53"/>
      <c r="U34" s="53"/>
      <c r="V34" s="53"/>
      <c r="W34" s="53"/>
      <c r="X34" s="53"/>
      <c r="Y34" s="53"/>
      <c r="Z34" s="53"/>
      <c r="AA34" s="53"/>
      <c r="AB34" s="53"/>
      <c r="AC34" s="53"/>
      <c r="AD34" s="53"/>
      <c r="AE34" s="53"/>
      <c r="AF34" s="53"/>
      <c r="AG34" s="53"/>
      <c r="AH34" s="53"/>
      <c r="AI34" s="53"/>
      <c r="AJ34" s="53"/>
      <c r="AK34" s="53"/>
      <c r="AL34" s="53"/>
      <c r="AM34" s="53"/>
      <c r="AN34" s="53"/>
      <c r="AO34" s="53"/>
      <c r="AP34" s="53"/>
    </row>
    <row r="35" spans="1:42" x14ac:dyDescent="0.25">
      <c r="A35" s="37" t="s">
        <v>22</v>
      </c>
      <c r="B35" s="37" t="s">
        <v>23</v>
      </c>
      <c r="C35" s="37" t="s">
        <v>11</v>
      </c>
      <c r="D35" s="51" t="s">
        <v>132</v>
      </c>
      <c r="E35" s="46"/>
      <c r="F35" s="46"/>
      <c r="G35" s="46"/>
      <c r="H35" s="46"/>
      <c r="I35" s="58" t="s">
        <v>106</v>
      </c>
      <c r="J35" s="51" t="s">
        <v>93</v>
      </c>
      <c r="K35" s="65">
        <v>20000000000</v>
      </c>
      <c r="L35" s="46" t="s">
        <v>335</v>
      </c>
      <c r="N35" s="53"/>
      <c r="O35" s="53"/>
      <c r="P35" s="53"/>
      <c r="Q35" s="53"/>
      <c r="R35" s="53"/>
      <c r="S35" s="53"/>
      <c r="T35" s="53"/>
      <c r="U35" s="53"/>
      <c r="V35" s="53"/>
      <c r="W35" s="53"/>
      <c r="X35" s="53"/>
      <c r="Y35" s="53"/>
      <c r="Z35" s="53"/>
      <c r="AA35" s="53"/>
      <c r="AB35" s="53"/>
      <c r="AC35" s="53"/>
      <c r="AD35" s="53"/>
      <c r="AE35" s="53"/>
      <c r="AF35" s="53"/>
      <c r="AG35" s="53"/>
      <c r="AH35" s="53"/>
      <c r="AI35" s="53"/>
      <c r="AJ35" s="53"/>
      <c r="AK35" s="53"/>
      <c r="AL35" s="53"/>
      <c r="AM35" s="53"/>
      <c r="AN35" s="53"/>
      <c r="AO35" s="53"/>
      <c r="AP35" s="53"/>
    </row>
    <row r="36" spans="1:42" x14ac:dyDescent="0.25">
      <c r="A36" s="37" t="s">
        <v>62</v>
      </c>
      <c r="B36" s="37" t="s">
        <v>63</v>
      </c>
      <c r="C36" s="37" t="s">
        <v>11</v>
      </c>
      <c r="D36" s="51" t="s">
        <v>132</v>
      </c>
      <c r="E36" s="46"/>
      <c r="F36" s="46"/>
      <c r="G36" s="46"/>
      <c r="H36" s="46"/>
      <c r="I36" s="58" t="s">
        <v>67</v>
      </c>
      <c r="J36" s="51" t="s">
        <v>93</v>
      </c>
      <c r="K36" s="65">
        <f>SUM(K31:K35)</f>
        <v>80000000000</v>
      </c>
      <c r="L36" s="63" t="s">
        <v>326</v>
      </c>
      <c r="N36" s="53"/>
      <c r="O36" s="53"/>
      <c r="P36" s="53"/>
      <c r="Q36" s="53"/>
      <c r="R36" s="53"/>
      <c r="S36" s="53"/>
      <c r="T36" s="53"/>
      <c r="U36" s="53"/>
      <c r="V36" s="53"/>
      <c r="W36" s="53"/>
      <c r="X36" s="53"/>
      <c r="Y36" s="53"/>
      <c r="Z36" s="53"/>
      <c r="AA36" s="53"/>
      <c r="AB36" s="53"/>
      <c r="AC36" s="53"/>
      <c r="AD36" s="53"/>
      <c r="AE36" s="53"/>
      <c r="AF36" s="53"/>
      <c r="AG36" s="53"/>
      <c r="AH36" s="53"/>
      <c r="AI36" s="53"/>
      <c r="AJ36" s="53"/>
      <c r="AK36" s="53"/>
      <c r="AL36" s="53"/>
      <c r="AM36" s="53"/>
      <c r="AN36" s="53"/>
      <c r="AO36" s="53"/>
      <c r="AP36" s="53"/>
    </row>
    <row r="37" spans="1:42" x14ac:dyDescent="0.25">
      <c r="A37" s="37" t="s">
        <v>109</v>
      </c>
      <c r="B37" s="37" t="s">
        <v>110</v>
      </c>
      <c r="C37" s="37" t="s">
        <v>10</v>
      </c>
      <c r="D37" s="51" t="s">
        <v>132</v>
      </c>
      <c r="E37" s="46"/>
      <c r="F37" s="46"/>
      <c r="G37" s="46"/>
      <c r="H37" s="46"/>
      <c r="I37" s="58" t="s">
        <v>111</v>
      </c>
      <c r="J37" s="51" t="s">
        <v>93</v>
      </c>
      <c r="K37" s="65">
        <v>40000000000</v>
      </c>
      <c r="L37" s="59" t="s">
        <v>238</v>
      </c>
      <c r="N37" s="53"/>
      <c r="O37" s="53"/>
      <c r="P37" s="53"/>
      <c r="Q37" s="53"/>
      <c r="R37" s="53"/>
      <c r="S37" s="53"/>
      <c r="T37" s="53"/>
      <c r="U37" s="53"/>
      <c r="V37" s="53"/>
      <c r="W37" s="53"/>
      <c r="X37" s="53"/>
      <c r="Y37" s="53"/>
      <c r="Z37" s="53"/>
      <c r="AA37" s="53"/>
      <c r="AB37" s="53"/>
      <c r="AC37" s="53"/>
      <c r="AD37" s="53"/>
      <c r="AE37" s="53"/>
      <c r="AF37" s="53"/>
      <c r="AG37" s="53"/>
      <c r="AH37" s="53"/>
      <c r="AI37" s="53"/>
      <c r="AJ37" s="53"/>
      <c r="AK37" s="53"/>
      <c r="AL37" s="53"/>
      <c r="AM37" s="53"/>
      <c r="AN37" s="53"/>
      <c r="AO37" s="53"/>
      <c r="AP37" s="53"/>
    </row>
    <row r="38" spans="1:42" x14ac:dyDescent="0.25">
      <c r="A38" s="37" t="s">
        <v>112</v>
      </c>
      <c r="B38" s="37" t="s">
        <v>113</v>
      </c>
      <c r="C38" s="37" t="s">
        <v>10</v>
      </c>
      <c r="D38" s="51" t="s">
        <v>132</v>
      </c>
      <c r="E38" s="46"/>
      <c r="F38" s="46"/>
      <c r="G38" s="46"/>
      <c r="H38" s="46"/>
      <c r="I38" s="58" t="s">
        <v>114</v>
      </c>
      <c r="J38" s="51" t="s">
        <v>93</v>
      </c>
      <c r="K38" s="65">
        <v>25000000000</v>
      </c>
      <c r="L38" s="59" t="s">
        <v>239</v>
      </c>
      <c r="N38" s="53"/>
      <c r="O38" s="53"/>
      <c r="P38" s="53"/>
      <c r="Q38" s="53"/>
      <c r="R38" s="53"/>
      <c r="S38" s="53"/>
      <c r="T38" s="53"/>
      <c r="U38" s="53"/>
      <c r="V38" s="53"/>
      <c r="W38" s="53"/>
      <c r="X38" s="53"/>
      <c r="Y38" s="53"/>
      <c r="Z38" s="53"/>
      <c r="AA38" s="53"/>
      <c r="AB38" s="53"/>
      <c r="AC38" s="53"/>
      <c r="AD38" s="53"/>
      <c r="AE38" s="53"/>
      <c r="AF38" s="53"/>
      <c r="AG38" s="53"/>
      <c r="AH38" s="53"/>
      <c r="AI38" s="53"/>
      <c r="AJ38" s="53"/>
      <c r="AK38" s="53"/>
      <c r="AL38" s="53"/>
      <c r="AM38" s="53"/>
      <c r="AN38" s="53"/>
      <c r="AO38" s="53"/>
      <c r="AP38" s="53"/>
    </row>
    <row r="39" spans="1:42" x14ac:dyDescent="0.25">
      <c r="A39" s="37" t="s">
        <v>115</v>
      </c>
      <c r="B39" s="37" t="s">
        <v>116</v>
      </c>
      <c r="C39" s="37" t="s">
        <v>10</v>
      </c>
      <c r="D39" s="51" t="s">
        <v>132</v>
      </c>
      <c r="E39" s="46"/>
      <c r="F39" s="46"/>
      <c r="G39" s="46"/>
      <c r="H39" s="46"/>
      <c r="I39" s="58" t="s">
        <v>106</v>
      </c>
      <c r="J39" s="51" t="s">
        <v>93</v>
      </c>
      <c r="K39" s="65">
        <v>15000000000</v>
      </c>
      <c r="L39" s="46" t="s">
        <v>336</v>
      </c>
      <c r="N39" s="53"/>
      <c r="O39" s="53"/>
      <c r="P39" s="53"/>
      <c r="Q39" s="53"/>
      <c r="R39" s="53"/>
      <c r="S39" s="53"/>
      <c r="T39" s="53"/>
      <c r="U39" s="53"/>
      <c r="V39" s="53"/>
      <c r="W39" s="53"/>
      <c r="X39" s="53"/>
      <c r="Y39" s="53"/>
      <c r="Z39" s="53"/>
      <c r="AA39" s="53"/>
      <c r="AB39" s="53"/>
      <c r="AC39" s="53"/>
      <c r="AD39" s="53"/>
      <c r="AE39" s="53"/>
      <c r="AF39" s="53"/>
      <c r="AG39" s="53"/>
      <c r="AH39" s="53"/>
      <c r="AI39" s="53"/>
      <c r="AJ39" s="53"/>
      <c r="AK39" s="53"/>
      <c r="AL39" s="53"/>
      <c r="AM39" s="53"/>
      <c r="AN39" s="53"/>
      <c r="AO39" s="53"/>
      <c r="AP39" s="53"/>
    </row>
    <row r="40" spans="1:42" x14ac:dyDescent="0.25">
      <c r="A40" s="37" t="s">
        <v>83</v>
      </c>
      <c r="B40" s="37" t="s">
        <v>240</v>
      </c>
      <c r="C40" s="37" t="s">
        <v>10</v>
      </c>
      <c r="D40" s="51" t="s">
        <v>132</v>
      </c>
      <c r="E40" s="46"/>
      <c r="F40" s="46"/>
      <c r="G40" s="46"/>
      <c r="H40" s="46"/>
      <c r="I40" s="58" t="s">
        <v>84</v>
      </c>
      <c r="J40" s="51" t="s">
        <v>93</v>
      </c>
      <c r="K40" s="65">
        <v>10000000000</v>
      </c>
      <c r="L40" s="46" t="s">
        <v>123</v>
      </c>
      <c r="N40" s="53"/>
      <c r="O40" s="53"/>
      <c r="P40" s="53"/>
      <c r="Q40" s="53"/>
      <c r="R40" s="53"/>
      <c r="S40" s="53"/>
      <c r="T40" s="53"/>
      <c r="U40" s="53"/>
      <c r="V40" s="53"/>
      <c r="W40" s="53"/>
      <c r="X40" s="53"/>
      <c r="Y40" s="53"/>
      <c r="Z40" s="53"/>
      <c r="AA40" s="53"/>
      <c r="AB40" s="53"/>
      <c r="AC40" s="53"/>
      <c r="AD40" s="53"/>
      <c r="AE40" s="53"/>
      <c r="AF40" s="53"/>
      <c r="AG40" s="53"/>
      <c r="AH40" s="53"/>
      <c r="AI40" s="53"/>
      <c r="AJ40" s="53"/>
      <c r="AK40" s="53"/>
      <c r="AL40" s="53"/>
      <c r="AM40" s="53"/>
      <c r="AN40" s="53"/>
      <c r="AO40" s="53"/>
      <c r="AP40" s="53"/>
    </row>
    <row r="41" spans="1:42" x14ac:dyDescent="0.25">
      <c r="A41" s="37" t="s">
        <v>86</v>
      </c>
      <c r="B41" s="37" t="s">
        <v>64</v>
      </c>
      <c r="C41" s="37" t="s">
        <v>10</v>
      </c>
      <c r="D41" s="51" t="s">
        <v>132</v>
      </c>
      <c r="E41" s="46"/>
      <c r="F41" s="46"/>
      <c r="G41" s="46"/>
      <c r="H41" s="46"/>
      <c r="I41" s="58" t="s">
        <v>66</v>
      </c>
      <c r="J41" s="51" t="s">
        <v>93</v>
      </c>
      <c r="K41" s="65">
        <f>SUM(K37:K40)</f>
        <v>90000000000</v>
      </c>
      <c r="L41" s="63" t="s">
        <v>330</v>
      </c>
      <c r="M41" s="37"/>
      <c r="N41" s="53"/>
      <c r="O41" s="53"/>
      <c r="P41" s="53"/>
      <c r="Q41" s="53"/>
      <c r="R41" s="53"/>
      <c r="S41" s="53"/>
      <c r="T41" s="53"/>
      <c r="U41" s="53"/>
      <c r="V41" s="53"/>
      <c r="W41" s="53"/>
      <c r="X41" s="53"/>
      <c r="Y41" s="53"/>
      <c r="Z41" s="53"/>
      <c r="AA41" s="53"/>
      <c r="AB41" s="53"/>
      <c r="AC41" s="53"/>
      <c r="AD41" s="53"/>
      <c r="AE41" s="53"/>
      <c r="AF41" s="53"/>
      <c r="AG41" s="53"/>
      <c r="AH41" s="53"/>
      <c r="AI41" s="53"/>
      <c r="AJ41" s="53"/>
      <c r="AK41" s="53"/>
      <c r="AL41" s="53"/>
      <c r="AM41" s="53"/>
      <c r="AN41" s="53"/>
      <c r="AO41" s="53"/>
      <c r="AP41" s="53"/>
    </row>
    <row r="42" spans="1:42" x14ac:dyDescent="0.25">
      <c r="A42" s="37" t="s">
        <v>85</v>
      </c>
      <c r="B42" s="37" t="s">
        <v>25</v>
      </c>
      <c r="C42" s="37" t="s">
        <v>13</v>
      </c>
      <c r="D42" s="51" t="s">
        <v>132</v>
      </c>
      <c r="E42" s="46"/>
      <c r="F42" s="46"/>
      <c r="G42" s="46"/>
      <c r="H42" s="46"/>
      <c r="I42" s="58" t="s">
        <v>68</v>
      </c>
      <c r="J42" s="51" t="s">
        <v>93</v>
      </c>
      <c r="K42" s="65">
        <f>K36-K41</f>
        <v>-10000000000</v>
      </c>
      <c r="L42" s="46" t="s">
        <v>283</v>
      </c>
      <c r="M42" s="37"/>
    </row>
    <row r="43" spans="1:42" x14ac:dyDescent="0.25">
      <c r="A43" s="37" t="s">
        <v>24</v>
      </c>
      <c r="B43" s="37" t="s">
        <v>13</v>
      </c>
      <c r="C43" s="37" t="s">
        <v>13</v>
      </c>
      <c r="D43" s="51" t="s">
        <v>132</v>
      </c>
      <c r="E43" s="46"/>
      <c r="F43" s="46"/>
      <c r="G43" s="46"/>
      <c r="H43" s="46"/>
      <c r="I43" s="58" t="s">
        <v>69</v>
      </c>
      <c r="J43" s="51" t="s">
        <v>93</v>
      </c>
      <c r="K43" s="65">
        <v>300000000000</v>
      </c>
      <c r="L43" s="46" t="s">
        <v>344</v>
      </c>
      <c r="M43" s="37"/>
      <c r="N43" s="53"/>
      <c r="O43" s="53"/>
      <c r="P43" s="53"/>
      <c r="Q43" s="53"/>
      <c r="R43" s="53"/>
      <c r="S43" s="53"/>
      <c r="T43" s="53"/>
      <c r="U43" s="53"/>
      <c r="V43" s="53"/>
      <c r="W43" s="53"/>
      <c r="X43" s="53"/>
      <c r="Y43" s="53"/>
      <c r="Z43" s="53"/>
      <c r="AA43" s="53"/>
      <c r="AB43" s="53"/>
      <c r="AC43" s="53"/>
      <c r="AD43" s="53"/>
      <c r="AE43" s="53"/>
      <c r="AF43" s="53"/>
      <c r="AG43" s="53"/>
      <c r="AH43" s="53"/>
      <c r="AI43" s="53"/>
      <c r="AJ43" s="53"/>
      <c r="AK43" s="53"/>
      <c r="AL43" s="53"/>
      <c r="AM43" s="53"/>
      <c r="AN43" s="53"/>
      <c r="AO43" s="53"/>
      <c r="AP43" s="53"/>
    </row>
  </sheetData>
  <dataValidations disablePrompts="1" count="1">
    <dataValidation type="list" allowBlank="1" showInputMessage="1" showErrorMessage="1" sqref="C1:C40">
      <formula1>SeriesTypes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1"/>
  <sheetViews>
    <sheetView workbookViewId="0">
      <selection activeCell="H24" sqref="H24"/>
    </sheetView>
  </sheetViews>
  <sheetFormatPr defaultRowHeight="15" x14ac:dyDescent="0.25"/>
  <cols>
    <col min="1" max="1" width="35.85546875" customWidth="1"/>
    <col min="2" max="2" width="21.7109375" customWidth="1"/>
    <col min="3" max="3" width="20.42578125" customWidth="1"/>
    <col min="4" max="4" width="15.85546875" customWidth="1"/>
    <col min="5" max="5" width="37.7109375" customWidth="1"/>
    <col min="6" max="6" width="36.28515625" customWidth="1"/>
    <col min="7" max="7" width="18.85546875" bestFit="1" customWidth="1"/>
    <col min="8" max="8" width="18" bestFit="1" customWidth="1"/>
    <col min="9" max="9" width="20" bestFit="1" customWidth="1"/>
  </cols>
  <sheetData>
    <row r="1" spans="1:9" x14ac:dyDescent="0.25">
      <c r="A1" s="2" t="s">
        <v>241</v>
      </c>
      <c r="B1" s="2" t="s">
        <v>242</v>
      </c>
      <c r="C1" s="2" t="s">
        <v>243</v>
      </c>
      <c r="D1" s="2" t="s">
        <v>244</v>
      </c>
      <c r="E1" s="2" t="s">
        <v>245</v>
      </c>
      <c r="F1" s="2" t="s">
        <v>246</v>
      </c>
      <c r="G1" s="2" t="s">
        <v>314</v>
      </c>
      <c r="H1" s="2" t="s">
        <v>316</v>
      </c>
      <c r="I1" s="2" t="s">
        <v>317</v>
      </c>
    </row>
    <row r="2" spans="1:9" x14ac:dyDescent="0.25">
      <c r="A2" t="s">
        <v>247</v>
      </c>
      <c r="B2" t="s">
        <v>248</v>
      </c>
      <c r="C2" s="9" t="s">
        <v>195</v>
      </c>
      <c r="D2">
        <v>1.05</v>
      </c>
      <c r="E2" t="s">
        <v>249</v>
      </c>
      <c r="F2" t="s">
        <v>250</v>
      </c>
      <c r="G2" s="60" t="s">
        <v>315</v>
      </c>
      <c r="H2">
        <v>0</v>
      </c>
    </row>
    <row r="3" spans="1:9" x14ac:dyDescent="0.25">
      <c r="C3" s="9"/>
      <c r="F3" t="s">
        <v>251</v>
      </c>
      <c r="G3" s="60" t="s">
        <v>315</v>
      </c>
      <c r="H3">
        <v>0</v>
      </c>
    </row>
    <row r="4" spans="1:9" x14ac:dyDescent="0.25">
      <c r="C4" s="9"/>
      <c r="F4" t="s">
        <v>252</v>
      </c>
      <c r="G4" s="60" t="s">
        <v>315</v>
      </c>
      <c r="H4">
        <v>0</v>
      </c>
    </row>
    <row r="5" spans="1:9" s="37" customFormat="1" x14ac:dyDescent="0.25">
      <c r="C5" s="9"/>
      <c r="G5" s="60"/>
      <c r="I5" s="37" t="s">
        <v>327</v>
      </c>
    </row>
    <row r="6" spans="1:9" s="37" customFormat="1" x14ac:dyDescent="0.25">
      <c r="C6" s="9"/>
      <c r="G6" s="60"/>
      <c r="I6" s="37" t="s">
        <v>328</v>
      </c>
    </row>
    <row r="7" spans="1:9" x14ac:dyDescent="0.25">
      <c r="A7" t="s">
        <v>253</v>
      </c>
      <c r="B7" t="s">
        <v>248</v>
      </c>
      <c r="C7" s="9" t="s">
        <v>254</v>
      </c>
      <c r="D7">
        <v>0.69</v>
      </c>
      <c r="E7" t="s">
        <v>255</v>
      </c>
      <c r="F7" t="s">
        <v>256</v>
      </c>
      <c r="G7" s="60" t="s">
        <v>315</v>
      </c>
      <c r="H7">
        <v>0</v>
      </c>
    </row>
    <row r="8" spans="1:9" x14ac:dyDescent="0.25">
      <c r="F8" t="s">
        <v>257</v>
      </c>
      <c r="G8" s="60" t="s">
        <v>315</v>
      </c>
      <c r="H8">
        <v>0</v>
      </c>
    </row>
    <row r="9" spans="1:9" x14ac:dyDescent="0.25">
      <c r="F9" t="s">
        <v>258</v>
      </c>
      <c r="G9" s="60" t="s">
        <v>315</v>
      </c>
      <c r="H9">
        <v>0</v>
      </c>
    </row>
    <row r="10" spans="1:9" x14ac:dyDescent="0.25">
      <c r="I10" s="37" t="s">
        <v>327</v>
      </c>
    </row>
    <row r="11" spans="1:9" x14ac:dyDescent="0.25">
      <c r="I11" s="37" t="s">
        <v>328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G28"/>
  <sheetViews>
    <sheetView workbookViewId="0">
      <selection activeCell="B28" sqref="B28"/>
    </sheetView>
  </sheetViews>
  <sheetFormatPr defaultRowHeight="15" x14ac:dyDescent="0.25"/>
  <cols>
    <col min="1" max="1" width="6.5703125" bestFit="1" customWidth="1"/>
    <col min="2" max="32" width="7.5703125" bestFit="1" customWidth="1"/>
    <col min="33" max="33" width="5.42578125" bestFit="1" customWidth="1"/>
  </cols>
  <sheetData>
    <row r="1" spans="1:33" x14ac:dyDescent="0.25">
      <c r="B1" s="79" t="s">
        <v>259</v>
      </c>
      <c r="C1" s="79"/>
      <c r="D1" s="79"/>
      <c r="E1" s="79"/>
      <c r="F1" s="79"/>
      <c r="G1" s="79"/>
      <c r="H1" s="79"/>
      <c r="I1" s="79"/>
      <c r="J1" s="79"/>
      <c r="K1" s="79"/>
      <c r="L1" s="79"/>
      <c r="M1" s="79"/>
      <c r="N1" s="79"/>
      <c r="O1" s="79"/>
      <c r="P1" s="79"/>
      <c r="Q1" s="79"/>
      <c r="R1" s="79"/>
      <c r="S1" s="79"/>
      <c r="T1" s="79"/>
      <c r="U1" s="79"/>
      <c r="V1" s="79"/>
      <c r="W1" s="79"/>
      <c r="X1" s="79"/>
      <c r="Y1" s="79"/>
      <c r="Z1" s="79"/>
      <c r="AA1" s="79"/>
      <c r="AB1" s="79"/>
      <c r="AC1" s="79"/>
      <c r="AD1" s="79"/>
      <c r="AE1" s="79"/>
      <c r="AF1" s="79"/>
    </row>
    <row r="2" spans="1:33" x14ac:dyDescent="0.25">
      <c r="A2" t="s">
        <v>260</v>
      </c>
      <c r="B2" t="s">
        <v>27</v>
      </c>
      <c r="C2" t="s">
        <v>28</v>
      </c>
      <c r="D2" t="s">
        <v>29</v>
      </c>
      <c r="E2" t="s">
        <v>30</v>
      </c>
      <c r="F2" t="s">
        <v>31</v>
      </c>
      <c r="G2" t="s">
        <v>32</v>
      </c>
      <c r="H2" t="s">
        <v>33</v>
      </c>
      <c r="I2" t="s">
        <v>34</v>
      </c>
      <c r="J2" t="s">
        <v>35</v>
      </c>
      <c r="K2" t="s">
        <v>36</v>
      </c>
      <c r="L2" t="s">
        <v>37</v>
      </c>
      <c r="M2" t="s">
        <v>38</v>
      </c>
      <c r="N2" t="s">
        <v>39</v>
      </c>
      <c r="O2" t="s">
        <v>40</v>
      </c>
      <c r="P2" t="s">
        <v>41</v>
      </c>
      <c r="Q2" t="s">
        <v>42</v>
      </c>
      <c r="R2" t="s">
        <v>43</v>
      </c>
      <c r="S2" t="s">
        <v>44</v>
      </c>
      <c r="T2" t="s">
        <v>45</v>
      </c>
      <c r="U2" t="s">
        <v>46</v>
      </c>
      <c r="V2" t="s">
        <v>47</v>
      </c>
      <c r="W2" t="s">
        <v>48</v>
      </c>
      <c r="X2" t="s">
        <v>49</v>
      </c>
      <c r="Y2" t="s">
        <v>50</v>
      </c>
      <c r="Z2" t="s">
        <v>51</v>
      </c>
      <c r="AA2" t="s">
        <v>52</v>
      </c>
      <c r="AB2" t="s">
        <v>53</v>
      </c>
      <c r="AC2" t="s">
        <v>54</v>
      </c>
      <c r="AD2" t="s">
        <v>55</v>
      </c>
      <c r="AE2" t="s">
        <v>56</v>
      </c>
      <c r="AF2" t="s">
        <v>117</v>
      </c>
    </row>
    <row r="3" spans="1:33" x14ac:dyDescent="0.25">
      <c r="A3" t="s">
        <v>261</v>
      </c>
      <c r="B3" s="36">
        <v>0</v>
      </c>
      <c r="C3" s="36">
        <f t="shared" ref="C3:R3" si="0">MIN(1,ROUND((1+$B3)^C$26-1,5))</f>
        <v>0</v>
      </c>
      <c r="D3" s="36">
        <f t="shared" si="0"/>
        <v>0</v>
      </c>
      <c r="E3" s="36">
        <f t="shared" si="0"/>
        <v>0</v>
      </c>
      <c r="F3" s="36">
        <f t="shared" si="0"/>
        <v>0</v>
      </c>
      <c r="G3" s="36">
        <f t="shared" si="0"/>
        <v>0</v>
      </c>
      <c r="H3" s="36">
        <f t="shared" si="0"/>
        <v>0</v>
      </c>
      <c r="I3" s="36">
        <f t="shared" si="0"/>
        <v>0</v>
      </c>
      <c r="J3" s="36">
        <f t="shared" si="0"/>
        <v>0</v>
      </c>
      <c r="K3" s="36">
        <f t="shared" si="0"/>
        <v>0</v>
      </c>
      <c r="L3" s="36">
        <f t="shared" si="0"/>
        <v>0</v>
      </c>
      <c r="M3" s="36">
        <f t="shared" si="0"/>
        <v>0</v>
      </c>
      <c r="N3" s="36">
        <f t="shared" si="0"/>
        <v>0</v>
      </c>
      <c r="O3" s="36">
        <f t="shared" si="0"/>
        <v>0</v>
      </c>
      <c r="P3" s="36">
        <f t="shared" si="0"/>
        <v>0</v>
      </c>
      <c r="Q3" s="36">
        <f t="shared" si="0"/>
        <v>0</v>
      </c>
      <c r="R3" s="36">
        <f t="shared" si="0"/>
        <v>0</v>
      </c>
      <c r="S3" s="36">
        <f t="shared" ref="S3:AF3" si="1">MIN(1,ROUND((1+$B3)^S$26-1,5))</f>
        <v>0</v>
      </c>
      <c r="T3" s="36">
        <f t="shared" si="1"/>
        <v>0</v>
      </c>
      <c r="U3" s="36">
        <f t="shared" si="1"/>
        <v>0</v>
      </c>
      <c r="V3" s="36">
        <f t="shared" si="1"/>
        <v>0</v>
      </c>
      <c r="W3" s="36">
        <f t="shared" si="1"/>
        <v>0</v>
      </c>
      <c r="X3" s="36">
        <f t="shared" si="1"/>
        <v>0</v>
      </c>
      <c r="Y3" s="36">
        <f t="shared" si="1"/>
        <v>0</v>
      </c>
      <c r="Z3" s="36">
        <f t="shared" si="1"/>
        <v>0</v>
      </c>
      <c r="AA3" s="36">
        <f t="shared" si="1"/>
        <v>0</v>
      </c>
      <c r="AB3" s="36">
        <f t="shared" si="1"/>
        <v>0</v>
      </c>
      <c r="AC3" s="36">
        <f t="shared" si="1"/>
        <v>0</v>
      </c>
      <c r="AD3" s="36">
        <f t="shared" si="1"/>
        <v>0</v>
      </c>
      <c r="AE3" s="36">
        <f t="shared" si="1"/>
        <v>0</v>
      </c>
      <c r="AF3" s="36">
        <f t="shared" si="1"/>
        <v>0</v>
      </c>
      <c r="AG3" t="str">
        <f>A3</f>
        <v>AAA</v>
      </c>
    </row>
    <row r="4" spans="1:33" x14ac:dyDescent="0.25">
      <c r="A4" t="s">
        <v>262</v>
      </c>
      <c r="B4" s="36">
        <v>1.6881943016134132E-6</v>
      </c>
      <c r="C4" s="36">
        <v>7.7459666924148335E-6</v>
      </c>
      <c r="D4" s="36">
        <v>2.6457513110645909E-5</v>
      </c>
      <c r="E4" s="36">
        <v>6.1481704595757597E-5</v>
      </c>
      <c r="F4" s="36">
        <v>9.4815610529068469E-5</v>
      </c>
      <c r="G4" s="36">
        <v>1.2961481396815721E-4</v>
      </c>
      <c r="H4" s="36">
        <v>1.6757088052522727E-4</v>
      </c>
      <c r="I4" s="36">
        <v>2.1028552018624585E-4</v>
      </c>
      <c r="J4" s="36">
        <v>2.593067681338071E-4</v>
      </c>
      <c r="K4" s="36">
        <v>3.1622776601683794E-4</v>
      </c>
      <c r="L4" s="36">
        <v>3.9773576211929961E-4</v>
      </c>
      <c r="M4" s="36">
        <v>4.7866595978786764E-4</v>
      </c>
      <c r="N4" s="36">
        <v>5.667840856627477E-4</v>
      </c>
      <c r="O4" s="36">
        <v>6.6189125062432485E-4</v>
      </c>
      <c r="P4" s="36">
        <v>7.6376679984916577E-4</v>
      </c>
      <c r="Q4" s="36">
        <v>8.7217260217493193E-4</v>
      </c>
      <c r="R4" s="36">
        <v>9.8685685605762749E-4</v>
      </c>
      <c r="S4" s="36">
        <v>1.1075574474815049E-3</v>
      </c>
      <c r="T4" s="36">
        <v>1.2340048963836697E-3</v>
      </c>
      <c r="U4" s="36">
        <v>1.365924928035351E-3</v>
      </c>
      <c r="V4" s="36">
        <v>1.5030407047819136E-3</v>
      </c>
      <c r="W4" s="36">
        <v>1.6450747518908591E-3</v>
      </c>
      <c r="X4" s="36">
        <v>1.7917506092219896E-3</v>
      </c>
      <c r="Y4" s="36">
        <v>1.942794238187436E-3</v>
      </c>
      <c r="Z4" s="36">
        <v>2.0979352111357985E-3</v>
      </c>
      <c r="AA4" s="36">
        <v>2.2569077079628835E-3</v>
      </c>
      <c r="AB4" s="36">
        <v>2.4194513424827691E-3</v>
      </c>
      <c r="AC4" s="36">
        <v>2.5853118389280055E-3</v>
      </c>
      <c r="AD4" s="36">
        <v>2.7542415769119229E-3</v>
      </c>
      <c r="AE4" s="36">
        <v>2.9260000212933276E-3</v>
      </c>
      <c r="AF4" s="36">
        <f>AE4+AE4-AD4</f>
        <v>3.0977584656747322E-3</v>
      </c>
      <c r="AG4" t="str">
        <f t="shared" ref="AG4:AG23" si="2">A4</f>
        <v>AA+</v>
      </c>
    </row>
    <row r="5" spans="1:33" x14ac:dyDescent="0.25">
      <c r="A5" t="s">
        <v>263</v>
      </c>
      <c r="B5" s="36">
        <v>8.8045442812220558E-6</v>
      </c>
      <c r="C5" s="36">
        <v>4.8989794855663562E-5</v>
      </c>
      <c r="D5" s="36">
        <v>1.6124515496597098E-4</v>
      </c>
      <c r="E5" s="36">
        <v>3.1416556144810013E-4</v>
      </c>
      <c r="F5" s="36">
        <v>4.5912961132995987E-4</v>
      </c>
      <c r="G5" s="36">
        <v>6.1139185470531084E-4</v>
      </c>
      <c r="H5" s="36">
        <v>7.7420927403383641E-4</v>
      </c>
      <c r="I5" s="36">
        <v>9.5105204904884157E-4</v>
      </c>
      <c r="J5" s="36">
        <v>1.159655121145938E-3</v>
      </c>
      <c r="K5" s="36">
        <v>1.414213562373095E-3</v>
      </c>
      <c r="L5" s="36">
        <v>1.804711387945459E-3</v>
      </c>
      <c r="M5" s="36">
        <v>2.2018388728916936E-3</v>
      </c>
      <c r="N5" s="36">
        <v>2.6412011417734568E-3</v>
      </c>
      <c r="O5" s="36">
        <v>3.122652220224707E-3</v>
      </c>
      <c r="P5" s="36">
        <v>3.6458294440564281E-3</v>
      </c>
      <c r="Q5" s="36">
        <v>4.2101720905440157E-3</v>
      </c>
      <c r="R5" s="36">
        <v>4.8149400991491951E-3</v>
      </c>
      <c r="S5" s="36">
        <v>5.4592326246794875E-3</v>
      </c>
      <c r="T5" s="36">
        <v>6.1420062066282668E-3</v>
      </c>
      <c r="U5" s="36">
        <v>6.862092377210716E-3</v>
      </c>
      <c r="V5" s="36">
        <v>7.6182145665516787E-3</v>
      </c>
      <c r="W5" s="36">
        <v>8.4090041960897741E-3</v>
      </c>
      <c r="X5" s="36">
        <v>9.2330158803064048E-3</v>
      </c>
      <c r="Y5" s="36">
        <v>1.0088741682331133E-2</v>
      </c>
      <c r="Z5" s="36">
        <v>1.0974624390915367E-2</v>
      </c>
      <c r="AA5" s="36">
        <v>1.1889069804894462E-2</v>
      </c>
      <c r="AB5" s="36">
        <v>1.283045802682139E-2</v>
      </c>
      <c r="AC5" s="36">
        <v>1.3797153780231974E-2</v>
      </c>
      <c r="AD5" s="36">
        <v>1.4787515775282974E-2</v>
      </c>
      <c r="AE5" s="36">
        <v>1.5799905155581242E-2</v>
      </c>
      <c r="AF5" s="36">
        <f t="shared" ref="AF5:AF22" si="3">AE5+AE5-AD5</f>
        <v>1.6812294535879509E-2</v>
      </c>
      <c r="AG5" t="str">
        <f t="shared" si="2"/>
        <v>AA</v>
      </c>
    </row>
    <row r="6" spans="1:33" x14ac:dyDescent="0.25">
      <c r="A6" t="s">
        <v>264</v>
      </c>
      <c r="B6" s="36">
        <v>2.0266228065429445E-5</v>
      </c>
      <c r="C6" s="36">
        <v>1.2328828005937954E-4</v>
      </c>
      <c r="D6" s="36">
        <v>3.9166312055132277E-4</v>
      </c>
      <c r="E6" s="36">
        <v>6.8898476035395722E-4</v>
      </c>
      <c r="F6" s="36">
        <v>9.8264947972305982E-4</v>
      </c>
      <c r="G6" s="36">
        <v>1.2762053126358626E-3</v>
      </c>
      <c r="H6" s="36">
        <v>1.5873562927080991E-3</v>
      </c>
      <c r="I6" s="36">
        <v>1.9162463307205576E-3</v>
      </c>
      <c r="J6" s="36">
        <v>2.3157720095035262E-3</v>
      </c>
      <c r="K6" s="36">
        <v>2.8284271247461901E-3</v>
      </c>
      <c r="L6" s="36">
        <v>4.0053530621406023E-3</v>
      </c>
      <c r="M6" s="36">
        <v>4.8196577847585209E-3</v>
      </c>
      <c r="N6" s="36">
        <v>5.7091299812381526E-3</v>
      </c>
      <c r="O6" s="36">
        <v>6.6721119894478358E-3</v>
      </c>
      <c r="P6" s="36">
        <v>7.7066086676659306E-3</v>
      </c>
      <c r="Q6" s="36">
        <v>8.8103366050014519E-3</v>
      </c>
      <c r="R6" s="36">
        <v>9.9807703147484911E-3</v>
      </c>
      <c r="S6" s="36">
        <v>1.1215185160338594E-2</v>
      </c>
      <c r="T6" s="36">
        <v>1.2510696882952756E-2</v>
      </c>
      <c r="U6" s="36">
        <v>1.3864297695034519E-2</v>
      </c>
      <c r="V6" s="36">
        <v>1.5272888978124588E-2</v>
      </c>
      <c r="W6" s="36">
        <v>1.6733310679770391E-2</v>
      </c>
      <c r="X6" s="36">
        <v>1.8242367545668166E-2</v>
      </c>
      <c r="Y6" s="36">
        <v>1.979685235228416E-2</v>
      </c>
      <c r="Z6" s="36">
        <v>2.1393566324268507E-2</v>
      </c>
      <c r="AA6" s="36">
        <v>2.3029336932001581E-2</v>
      </c>
      <c r="AB6" s="36">
        <v>2.4701033269286746E-2</v>
      </c>
      <c r="AC6" s="36">
        <v>2.6405579210950068E-2</v>
      </c>
      <c r="AD6" s="36">
        <v>2.8139964546112825E-2</v>
      </c>
      <c r="AE6" s="36">
        <v>2.9901254276146691E-2</v>
      </c>
      <c r="AF6" s="36">
        <f t="shared" si="3"/>
        <v>3.1662544006180557E-2</v>
      </c>
      <c r="AG6" t="str">
        <f t="shared" si="2"/>
        <v>AA-</v>
      </c>
    </row>
    <row r="7" spans="1:33" x14ac:dyDescent="0.25">
      <c r="A7" t="s">
        <v>265</v>
      </c>
      <c r="B7" s="36">
        <v>4.1888184491572325E-5</v>
      </c>
      <c r="C7" s="36">
        <v>2.6514147167125705E-4</v>
      </c>
      <c r="D7" s="36">
        <v>8.3084294544757378E-4</v>
      </c>
      <c r="E7" s="36">
        <v>1.3816294727603347E-3</v>
      </c>
      <c r="F7" s="36">
        <v>1.9251493448561334E-3</v>
      </c>
      <c r="G7" s="36">
        <v>2.4574376899526872E-3</v>
      </c>
      <c r="H7" s="36">
        <v>3.0358194939752265E-3</v>
      </c>
      <c r="I7" s="36">
        <v>3.6133087330035888E-3</v>
      </c>
      <c r="J7" s="36">
        <v>4.3286371989345561E-3</v>
      </c>
      <c r="K7" s="36">
        <v>5.2915026221291815E-3</v>
      </c>
      <c r="L7" s="36">
        <v>8.1737151931716694E-3</v>
      </c>
      <c r="M7" s="36">
        <v>9.6602300887237095E-3</v>
      </c>
      <c r="N7" s="36">
        <v>1.1255962565678592E-2</v>
      </c>
      <c r="O7" s="36">
        <v>1.2955086158840851E-2</v>
      </c>
      <c r="P7" s="36">
        <v>1.4751478213134503E-2</v>
      </c>
      <c r="Q7" s="36">
        <v>1.6638821752655557E-2</v>
      </c>
      <c r="R7" s="36">
        <v>1.8610694208461981E-2</v>
      </c>
      <c r="S7" s="36">
        <v>2.0660643671521886E-2</v>
      </c>
      <c r="T7" s="36">
        <v>2.2782253536231412E-2</v>
      </c>
      <c r="U7" s="36">
        <v>2.4969196512487257E-2</v>
      </c>
      <c r="V7" s="36">
        <v>2.7215279033055487E-2</v>
      </c>
      <c r="W7" s="36">
        <v>2.9514477085667415E-2</v>
      </c>
      <c r="X7" s="36">
        <v>3.1860964469700666E-2</v>
      </c>
      <c r="Y7" s="36">
        <v>3.4249134426090455E-2</v>
      </c>
      <c r="Z7" s="36">
        <v>3.6673615524328886E-2</v>
      </c>
      <c r="AA7" s="36">
        <v>3.9129282618088332E-2</v>
      </c>
      <c r="AB7" s="36">
        <v>4.1611263605583988E-2</v>
      </c>
      <c r="AC7" s="36">
        <v>4.4114942655458532E-2</v>
      </c>
      <c r="AD7" s="36">
        <v>4.6635960485946731E-2</v>
      </c>
      <c r="AE7" s="36">
        <v>4.9170212215837332E-2</v>
      </c>
      <c r="AF7" s="36">
        <f t="shared" si="3"/>
        <v>5.1704463945727933E-2</v>
      </c>
      <c r="AG7" t="str">
        <f t="shared" si="2"/>
        <v>A+</v>
      </c>
    </row>
    <row r="8" spans="1:33" x14ac:dyDescent="0.25">
      <c r="A8" t="s">
        <v>266</v>
      </c>
      <c r="B8" s="36">
        <v>7.9469931420632294E-5</v>
      </c>
      <c r="C8" s="36">
        <v>5.0892042599997884E-4</v>
      </c>
      <c r="D8" s="36">
        <v>1.6116451222275951E-3</v>
      </c>
      <c r="E8" s="36">
        <v>2.5535269726399993E-3</v>
      </c>
      <c r="F8" s="36">
        <v>3.4912318742816267E-3</v>
      </c>
      <c r="G8" s="36">
        <v>4.3862284482229152E-3</v>
      </c>
      <c r="H8" s="36">
        <v>5.3689850064979694E-3</v>
      </c>
      <c r="I8" s="36">
        <v>6.3080900437454124E-3</v>
      </c>
      <c r="J8" s="36">
        <v>7.5012398975102777E-3</v>
      </c>
      <c r="K8" s="36">
        <v>9.1651513899116809E-3</v>
      </c>
      <c r="L8" s="36">
        <v>1.219275418787483E-2</v>
      </c>
      <c r="M8" s="36">
        <v>1.433651616551015E-2</v>
      </c>
      <c r="N8" s="36">
        <v>1.6623941601628466E-2</v>
      </c>
      <c r="O8" s="36">
        <v>1.9045164010824685E-2</v>
      </c>
      <c r="P8" s="36">
        <v>2.1590041085979131E-2</v>
      </c>
      <c r="Q8" s="36">
        <v>2.4248309809448764E-2</v>
      </c>
      <c r="R8" s="36">
        <v>2.7009718745014847E-2</v>
      </c>
      <c r="S8" s="36">
        <v>2.9864138972423987E-2</v>
      </c>
      <c r="T8" s="36">
        <v>3.2801655418162733E-2</v>
      </c>
      <c r="U8" s="36">
        <v>3.5812640482017995E-2</v>
      </c>
      <c r="V8" s="36">
        <v>3.8887811898761664E-2</v>
      </c>
      <c r="W8" s="36">
        <v>4.2018276739031073E-2</v>
      </c>
      <c r="X8" s="36">
        <v>4.5195563367156209E-2</v>
      </c>
      <c r="Y8" s="36">
        <v>4.8411643054608405E-2</v>
      </c>
      <c r="Z8" s="36">
        <v>5.165894280965759E-2</v>
      </c>
      <c r="AA8" s="36">
        <v>5.4930350836870041E-2</v>
      </c>
      <c r="AB8" s="36">
        <v>5.8219215891575193E-2</v>
      </c>
      <c r="AC8" s="36">
        <v>6.151934164950848E-2</v>
      </c>
      <c r="AD8" s="36">
        <v>6.4824977073948784E-2</v>
      </c>
      <c r="AE8" s="36">
        <v>6.8130803633989628E-2</v>
      </c>
      <c r="AF8" s="36">
        <f t="shared" si="3"/>
        <v>7.1436630194030473E-2</v>
      </c>
      <c r="AG8" t="str">
        <f t="shared" si="2"/>
        <v>A</v>
      </c>
    </row>
    <row r="9" spans="1:33" x14ac:dyDescent="0.25">
      <c r="A9" t="s">
        <v>267</v>
      </c>
      <c r="B9" s="36">
        <v>2.0549927007169636E-4</v>
      </c>
      <c r="C9" s="36">
        <v>1.02469507659596E-3</v>
      </c>
      <c r="D9" s="36">
        <v>2.8270125574535393E-3</v>
      </c>
      <c r="E9" s="36">
        <v>4.3162483709814478E-3</v>
      </c>
      <c r="F9" s="36">
        <v>5.8387498661956741E-3</v>
      </c>
      <c r="G9" s="36">
        <v>7.2837490346661449E-3</v>
      </c>
      <c r="H9" s="36">
        <v>8.8774996479864757E-3</v>
      </c>
      <c r="I9" s="36">
        <v>1.038123306741545E-2</v>
      </c>
      <c r="J9" s="36">
        <v>1.2217364691290835E-2</v>
      </c>
      <c r="K9" s="36">
        <v>1.4696938456699069E-2</v>
      </c>
      <c r="L9" s="36">
        <v>1.8275576351425713E-2</v>
      </c>
      <c r="M9" s="36">
        <v>2.1225921690944522E-2</v>
      </c>
      <c r="N9" s="36">
        <v>2.4335524897133306E-2</v>
      </c>
      <c r="O9" s="36">
        <v>2.7589502701414196E-2</v>
      </c>
      <c r="P9" s="36">
        <v>3.097313471327982E-2</v>
      </c>
      <c r="Q9" s="36">
        <v>3.4472019386832455E-2</v>
      </c>
      <c r="R9" s="36">
        <v>3.8072198206046952E-2</v>
      </c>
      <c r="S9" s="36">
        <v>4.1760251722843138E-2</v>
      </c>
      <c r="T9" s="36">
        <v>4.5523371064355819E-2</v>
      </c>
      <c r="U9" s="36">
        <v>4.9349408366218761E-2</v>
      </c>
      <c r="V9" s="36">
        <v>5.3226909344382893E-2</v>
      </c>
      <c r="W9" s="36">
        <v>5.7145130928599096E-2</v>
      </c>
      <c r="X9" s="36">
        <v>6.1094046573356396E-2</v>
      </c>
      <c r="Y9" s="36">
        <v>6.5064341554960284E-2</v>
      </c>
      <c r="Z9" s="36">
        <v>6.9047400268325357E-2</v>
      </c>
      <c r="AA9" s="36">
        <v>7.3035287261124654E-2</v>
      </c>
      <c r="AB9" s="36">
        <v>7.7020723490140622E-2</v>
      </c>
      <c r="AC9" s="36">
        <v>8.0997059056711798E-2</v>
      </c>
      <c r="AD9" s="36">
        <v>8.4958243475260861E-2</v>
      </c>
      <c r="AE9" s="36">
        <v>8.8898794350214819E-2</v>
      </c>
      <c r="AF9" s="36">
        <f t="shared" si="3"/>
        <v>9.2839345225168776E-2</v>
      </c>
      <c r="AG9" t="str">
        <f t="shared" si="2"/>
        <v>A-</v>
      </c>
    </row>
    <row r="10" spans="1:33" x14ac:dyDescent="0.25">
      <c r="A10" t="s">
        <v>268</v>
      </c>
      <c r="B10" s="36">
        <v>5.9131210033281072E-4</v>
      </c>
      <c r="C10" s="36">
        <v>2.04939015319192E-3</v>
      </c>
      <c r="D10" s="36">
        <v>4.4899888641287298E-3</v>
      </c>
      <c r="E10" s="36">
        <v>6.6947740813264192E-3</v>
      </c>
      <c r="F10" s="36">
        <v>8.9610267268879409E-3</v>
      </c>
      <c r="G10" s="36">
        <v>1.1165572085656874E-2</v>
      </c>
      <c r="H10" s="36">
        <v>1.3615065185301171E-2</v>
      </c>
      <c r="I10" s="36">
        <v>1.6003124694883807E-2</v>
      </c>
      <c r="J10" s="36">
        <v>1.8575252353602089E-2</v>
      </c>
      <c r="K10" s="36">
        <v>2.1633307652783935E-2</v>
      </c>
      <c r="L10" s="36">
        <v>2.7450711056398503E-2</v>
      </c>
      <c r="M10" s="36">
        <v>3.1390704357304094E-2</v>
      </c>
      <c r="N10" s="36">
        <v>3.5476810470046104E-2</v>
      </c>
      <c r="O10" s="36">
        <v>3.9688702166976564E-2</v>
      </c>
      <c r="P10" s="36">
        <v>4.4007151294732663E-2</v>
      </c>
      <c r="Q10" s="36">
        <v>4.841410550145956E-2</v>
      </c>
      <c r="R10" s="36">
        <v>5.2892729237851342E-2</v>
      </c>
      <c r="S10" s="36">
        <v>5.7427416057016831E-2</v>
      </c>
      <c r="T10" s="36">
        <v>6.2003778338719041E-2</v>
      </c>
      <c r="U10" s="36">
        <v>6.6608619675119191E-2</v>
      </c>
      <c r="V10" s="36">
        <v>7.1229894321729881E-2</v>
      </c>
      <c r="W10" s="36">
        <v>7.5856657361997121E-2</v>
      </c>
      <c r="X10" s="36">
        <v>8.0479008566404137E-2</v>
      </c>
      <c r="Y10" s="36">
        <v>8.5088032348295553E-2</v>
      </c>
      <c r="Z10" s="36">
        <v>8.9675735724704636E-2</v>
      </c>
      <c r="AA10" s="36">
        <v>9.4234985774423907E-2</v>
      </c>
      <c r="AB10" s="36">
        <v>9.875944773916033E-2</v>
      </c>
      <c r="AC10" s="36">
        <v>0.10324352462824729</v>
      </c>
      <c r="AD10" s="36">
        <v>0.10768229895467475</v>
      </c>
      <c r="AE10" s="36">
        <v>0.11207147704232676</v>
      </c>
      <c r="AF10" s="36">
        <f t="shared" si="3"/>
        <v>0.11646065512997876</v>
      </c>
      <c r="AG10" t="str">
        <f t="shared" si="2"/>
        <v>BBB+</v>
      </c>
    </row>
    <row r="11" spans="1:33" x14ac:dyDescent="0.25">
      <c r="A11" t="s">
        <v>269</v>
      </c>
      <c r="B11" s="36">
        <v>1.2369316876852982E-3</v>
      </c>
      <c r="C11" s="36">
        <v>3.6276714294434112E-3</v>
      </c>
      <c r="D11" s="36">
        <v>6.817624219623725E-3</v>
      </c>
      <c r="E11" s="36">
        <v>9.9799799598997204E-3</v>
      </c>
      <c r="F11" s="36">
        <v>1.3183322798141597E-2</v>
      </c>
      <c r="G11" s="36">
        <v>1.6428329190760697E-2</v>
      </c>
      <c r="H11" s="36">
        <v>2.0061654966627256E-2</v>
      </c>
      <c r="I11" s="36">
        <v>2.3694936167881948E-2</v>
      </c>
      <c r="J11" s="36">
        <v>2.7119734511974854E-2</v>
      </c>
      <c r="K11" s="36">
        <v>3.0594117081556706E-2</v>
      </c>
      <c r="L11" s="36">
        <v>3.6535125229386546E-2</v>
      </c>
      <c r="M11" s="36">
        <v>4.1464113410985312E-2</v>
      </c>
      <c r="N11" s="36">
        <v>4.6526735849087716E-2</v>
      </c>
      <c r="O11" s="36">
        <v>5.1697121251122191E-2</v>
      </c>
      <c r="P11" s="36">
        <v>5.6951441177784577E-2</v>
      </c>
      <c r="Q11" s="36">
        <v>6.2267908227142045E-2</v>
      </c>
      <c r="R11" s="36">
        <v>6.7626734153312273E-2</v>
      </c>
      <c r="S11" s="36">
        <v>7.3010058406539333E-2</v>
      </c>
      <c r="T11" s="36">
        <v>7.8401855805087753E-2</v>
      </c>
      <c r="U11" s="36">
        <v>8.3787830426803475E-2</v>
      </c>
      <c r="V11" s="36">
        <v>8.9155301375880527E-2</v>
      </c>
      <c r="W11" s="36">
        <v>9.4493084848101469E-2</v>
      </c>
      <c r="X11" s="36">
        <v>9.9791375879319119E-2</v>
      </c>
      <c r="Y11" s="36">
        <v>0.10504163230199676</v>
      </c>
      <c r="Z11" s="36">
        <v>0.1102364627336704</v>
      </c>
      <c r="AA11" s="36">
        <v>0.11536951985831197</v>
      </c>
      <c r="AB11" s="36">
        <v>0.12043539981623062</v>
      </c>
      <c r="AC11" s="36">
        <v>0.12542954817126545</v>
      </c>
      <c r="AD11" s="36">
        <v>0.13034817265845125</v>
      </c>
      <c r="AE11" s="36">
        <v>0.13518816271607562</v>
      </c>
      <c r="AF11" s="36">
        <f t="shared" si="3"/>
        <v>0.14002815277369998</v>
      </c>
      <c r="AG11" t="str">
        <f t="shared" si="2"/>
        <v>BBB</v>
      </c>
    </row>
    <row r="12" spans="1:33" x14ac:dyDescent="0.25">
      <c r="A12" t="s">
        <v>270</v>
      </c>
      <c r="B12" s="36">
        <v>2.6720778431774772E-3</v>
      </c>
      <c r="C12" s="36">
        <v>7.0249555158733929E-3</v>
      </c>
      <c r="D12" s="36">
        <v>1.191343779099887E-2</v>
      </c>
      <c r="E12" s="36">
        <v>1.6899704139422086E-2</v>
      </c>
      <c r="F12" s="36">
        <v>2.1952220844370166E-2</v>
      </c>
      <c r="G12" s="36">
        <v>2.699814808463721E-2</v>
      </c>
      <c r="H12" s="36">
        <v>3.2303714956642374E-2</v>
      </c>
      <c r="I12" s="36">
        <v>3.7635754277016958E-2</v>
      </c>
      <c r="J12" s="36">
        <v>4.2481525396341403E-2</v>
      </c>
      <c r="K12" s="36">
        <v>4.6861498055439925E-2</v>
      </c>
      <c r="L12" s="36">
        <v>5.6386175797047175E-2</v>
      </c>
      <c r="M12" s="36">
        <v>6.2994402747990147E-2</v>
      </c>
      <c r="N12" s="36">
        <v>6.9659025421030266E-2</v>
      </c>
      <c r="O12" s="36">
        <v>7.6350421396999199E-2</v>
      </c>
      <c r="P12" s="36">
        <v>8.3042705328236918E-2</v>
      </c>
      <c r="Q12" s="36">
        <v>8.9713432145277855E-2</v>
      </c>
      <c r="R12" s="36">
        <v>9.6343291393091932E-2</v>
      </c>
      <c r="S12" s="36">
        <v>0.10291580413595405</v>
      </c>
      <c r="T12" s="36">
        <v>0.10941703034104441</v>
      </c>
      <c r="U12" s="36">
        <v>0.11583529192979761</v>
      </c>
      <c r="V12" s="36">
        <v>0.12216091463039511</v>
      </c>
      <c r="W12" s="36">
        <v>0.12838599024392822</v>
      </c>
      <c r="X12" s="36">
        <v>0.13450415983741482</v>
      </c>
      <c r="Y12" s="36">
        <v>0.14051041760437638</v>
      </c>
      <c r="Z12" s="36">
        <v>0.14640093461087109</v>
      </c>
      <c r="AA12" s="36">
        <v>0.152172901309924</v>
      </c>
      <c r="AB12" s="36">
        <v>0.15782438751144687</v>
      </c>
      <c r="AC12" s="36">
        <v>0.1633542184000335</v>
      </c>
      <c r="AD12" s="36">
        <v>0.16876186517025055</v>
      </c>
      <c r="AE12" s="36">
        <v>0.17404734887599521</v>
      </c>
      <c r="AF12" s="36">
        <f t="shared" si="3"/>
        <v>0.17933283258173988</v>
      </c>
      <c r="AG12" t="str">
        <f t="shared" si="2"/>
        <v>BBB-</v>
      </c>
    </row>
    <row r="13" spans="1:33" x14ac:dyDescent="0.25">
      <c r="A13" t="s">
        <v>271</v>
      </c>
      <c r="B13" s="36">
        <v>6.0448325038829648E-3</v>
      </c>
      <c r="C13" s="36">
        <v>1.456365338780074E-2</v>
      </c>
      <c r="D13" s="36">
        <v>2.3135038361757693E-2</v>
      </c>
      <c r="E13" s="36">
        <v>3.1616451413781409E-2</v>
      </c>
      <c r="F13" s="36">
        <v>4.0129789433785965E-2</v>
      </c>
      <c r="G13" s="36">
        <v>4.8088460154178357E-2</v>
      </c>
      <c r="H13" s="36">
        <v>5.5289962922758409E-2</v>
      </c>
      <c r="I13" s="36">
        <v>6.2620523792124252E-2</v>
      </c>
      <c r="J13" s="36">
        <v>6.9572480191524011E-2</v>
      </c>
      <c r="K13" s="36">
        <v>7.5723180070570204E-2</v>
      </c>
      <c r="L13" s="36">
        <v>9.3102040058022265E-2</v>
      </c>
      <c r="M13" s="36">
        <v>0.10217427087295852</v>
      </c>
      <c r="N13" s="36">
        <v>0.11111852640051412</v>
      </c>
      <c r="O13" s="36">
        <v>0.11990930154064505</v>
      </c>
      <c r="P13" s="36">
        <v>0.12852673865451089</v>
      </c>
      <c r="Q13" s="36">
        <v>0.1369558069487605</v>
      </c>
      <c r="R13" s="36">
        <v>0.14518555820334697</v>
      </c>
      <c r="S13" s="36">
        <v>0.15320846435837526</v>
      </c>
      <c r="T13" s="36">
        <v>0.16101983648564339</v>
      </c>
      <c r="U13" s="36">
        <v>0.16861732105233479</v>
      </c>
      <c r="V13" s="36">
        <v>0.17600046737538719</v>
      </c>
      <c r="W13" s="36">
        <v>0.18317035922734606</v>
      </c>
      <c r="X13" s="36">
        <v>0.19012930331131006</v>
      </c>
      <c r="Y13" s="36">
        <v>0.19688056751273905</v>
      </c>
      <c r="Z13" s="36">
        <v>0.20342816228063132</v>
      </c>
      <c r="AA13" s="36">
        <v>0.20977665906942863</v>
      </c>
      <c r="AB13" s="36">
        <v>0.21593104040656311</v>
      </c>
      <c r="AC13" s="36">
        <v>0.22189657678802779</v>
      </c>
      <c r="AD13" s="36">
        <v>0.22767872621469351</v>
      </c>
      <c r="AE13" s="36">
        <v>0.23328305274769359</v>
      </c>
      <c r="AF13" s="36">
        <f t="shared" si="3"/>
        <v>0.23888737928069367</v>
      </c>
      <c r="AG13" t="str">
        <f t="shared" si="2"/>
        <v>BB+</v>
      </c>
    </row>
    <row r="14" spans="1:33" x14ac:dyDescent="0.25">
      <c r="A14" t="s">
        <v>272</v>
      </c>
      <c r="B14" s="36">
        <v>1.164989270336856E-2</v>
      </c>
      <c r="C14" s="36">
        <v>2.6475271481138773E-2</v>
      </c>
      <c r="D14" s="36">
        <v>4.0265866437964551E-2</v>
      </c>
      <c r="E14" s="36">
        <v>5.3441556863549552E-2</v>
      </c>
      <c r="F14" s="36">
        <v>6.6636926699841129E-2</v>
      </c>
      <c r="G14" s="36">
        <v>7.8142498040438921E-2</v>
      </c>
      <c r="H14" s="36">
        <v>8.6914900908877532E-2</v>
      </c>
      <c r="I14" s="36">
        <v>9.5915275112987086E-2</v>
      </c>
      <c r="J14" s="36">
        <v>0.10484679298862698</v>
      </c>
      <c r="K14" s="36">
        <v>0.11264990013311153</v>
      </c>
      <c r="L14" s="36">
        <v>0.12921895125577529</v>
      </c>
      <c r="M14" s="36">
        <v>0.14076719735879348</v>
      </c>
      <c r="N14" s="36">
        <v>0.15200643453783394</v>
      </c>
      <c r="O14" s="36">
        <v>0.16291438727995525</v>
      </c>
      <c r="P14" s="36">
        <v>0.17347648707378982</v>
      </c>
      <c r="Q14" s="36">
        <v>0.1836845102529826</v>
      </c>
      <c r="R14" s="36">
        <v>0.19353537813122001</v>
      </c>
      <c r="S14" s="36">
        <v>0.20303011930376014</v>
      </c>
      <c r="T14" s="36">
        <v>0.21217298549929078</v>
      </c>
      <c r="U14" s="36">
        <v>0.22097070776446634</v>
      </c>
      <c r="V14" s="36">
        <v>0.22943187771147888</v>
      </c>
      <c r="W14" s="36">
        <v>0.23756643812887768</v>
      </c>
      <c r="X14" s="36">
        <v>0.24538526781274617</v>
      </c>
      <c r="Y14" s="36">
        <v>0.25289984659106812</v>
      </c>
      <c r="Z14" s="36">
        <v>0.26012198790527463</v>
      </c>
      <c r="AA14" s="36">
        <v>0.26706362779679849</v>
      </c>
      <c r="AB14" s="36">
        <v>0.27373666060943669</v>
      </c>
      <c r="AC14" s="36">
        <v>0.28015281309387807</v>
      </c>
      <c r="AD14" s="36">
        <v>0.28632354985372754</v>
      </c>
      <c r="AE14" s="36">
        <v>0.29226000418802323</v>
      </c>
      <c r="AF14" s="36">
        <f t="shared" si="3"/>
        <v>0.29819645852231891</v>
      </c>
      <c r="AG14" t="str">
        <f t="shared" si="2"/>
        <v>BB</v>
      </c>
    </row>
    <row r="15" spans="1:33" x14ac:dyDescent="0.25">
      <c r="A15" t="s">
        <v>273</v>
      </c>
      <c r="B15" s="36">
        <v>2.0937048502594629E-2</v>
      </c>
      <c r="C15" s="36">
        <v>4.3726079174789961E-2</v>
      </c>
      <c r="D15" s="36">
        <v>6.3848727473615322E-2</v>
      </c>
      <c r="E15" s="36">
        <v>8.1591666241105781E-2</v>
      </c>
      <c r="F15" s="36">
        <v>9.987121707479088E-2</v>
      </c>
      <c r="G15" s="36">
        <v>0.11480300518714656</v>
      </c>
      <c r="H15" s="36">
        <v>0.12507357834490865</v>
      </c>
      <c r="I15" s="36">
        <v>0.13534348894571915</v>
      </c>
      <c r="J15" s="36">
        <v>0.14538964887501449</v>
      </c>
      <c r="K15" s="36">
        <v>0.15440531078949324</v>
      </c>
      <c r="L15" s="36">
        <v>0.170529368802565</v>
      </c>
      <c r="M15" s="36">
        <v>0.1842843144834691</v>
      </c>
      <c r="N15" s="36">
        <v>0.19748849818471076</v>
      </c>
      <c r="O15" s="36">
        <v>0.21013914606491413</v>
      </c>
      <c r="P15" s="36">
        <v>0.22224091598230747</v>
      </c>
      <c r="Q15" s="36">
        <v>0.23380407830748456</v>
      </c>
      <c r="R15" s="36">
        <v>0.24484303426648127</v>
      </c>
      <c r="S15" s="36">
        <v>0.25537512155418057</v>
      </c>
      <c r="T15" s="36">
        <v>0.26541966122102389</v>
      </c>
      <c r="U15" s="36">
        <v>0.2749972050072913</v>
      </c>
      <c r="V15" s="36">
        <v>0.2841289476704098</v>
      </c>
      <c r="W15" s="36">
        <v>0.29283627401240075</v>
      </c>
      <c r="X15" s="36">
        <v>0.30114041504986594</v>
      </c>
      <c r="Y15" s="36">
        <v>0.30906219198191759</v>
      </c>
      <c r="Z15" s="36">
        <v>0.31662183027956892</v>
      </c>
      <c r="AA15" s="36">
        <v>0.32383882936303954</v>
      </c>
      <c r="AB15" s="36">
        <v>0.3307318759934052</v>
      </c>
      <c r="AC15" s="36">
        <v>0.33731879173432477</v>
      </c>
      <c r="AD15" s="36">
        <v>0.3436165066930677</v>
      </c>
      <c r="AE15" s="36">
        <v>0.34964105328078954</v>
      </c>
      <c r="AF15" s="36">
        <f t="shared" si="3"/>
        <v>0.35566559986851137</v>
      </c>
      <c r="AG15" t="str">
        <f t="shared" si="2"/>
        <v>BB-</v>
      </c>
    </row>
    <row r="16" spans="1:33" x14ac:dyDescent="0.25">
      <c r="A16" t="s">
        <v>274</v>
      </c>
      <c r="B16" s="36">
        <v>3.6264031767027777E-2</v>
      </c>
      <c r="C16" s="36">
        <v>6.7951306094879441E-2</v>
      </c>
      <c r="D16" s="36">
        <v>9.5464443642646363E-2</v>
      </c>
      <c r="E16" s="36">
        <v>0.11644376325076411</v>
      </c>
      <c r="F16" s="36">
        <v>0.13826901315913123</v>
      </c>
      <c r="G16" s="36">
        <v>0.15534995976825999</v>
      </c>
      <c r="H16" s="36">
        <v>0.16723653906966623</v>
      </c>
      <c r="I16" s="36">
        <v>0.17827318923494917</v>
      </c>
      <c r="J16" s="36">
        <v>0.18839331198320178</v>
      </c>
      <c r="K16" s="36">
        <v>0.19800303027984195</v>
      </c>
      <c r="L16" s="36">
        <v>0.21875560204882274</v>
      </c>
      <c r="M16" s="36">
        <v>0.23431598479649357</v>
      </c>
      <c r="N16" s="36">
        <v>0.24901305191160059</v>
      </c>
      <c r="O16" s="36">
        <v>0.26288550130442057</v>
      </c>
      <c r="P16" s="36">
        <v>0.27597546287074903</v>
      </c>
      <c r="Q16" s="36">
        <v>0.28832654765222626</v>
      </c>
      <c r="R16" s="36">
        <v>0.29998248073651096</v>
      </c>
      <c r="S16" s="36">
        <v>0.31098616354531589</v>
      </c>
      <c r="T16" s="36">
        <v>0.32137905040614534</v>
      </c>
      <c r="U16" s="36">
        <v>0.33120075371197055</v>
      </c>
      <c r="V16" s="36">
        <v>0.34048881399701053</v>
      </c>
      <c r="W16" s="36">
        <v>0.34927858773843018</v>
      </c>
      <c r="X16" s="36">
        <v>0.35760321801643241</v>
      </c>
      <c r="Y16" s="36">
        <v>0.36549366236795461</v>
      </c>
      <c r="Z16" s="36">
        <v>0.37297875903251426</v>
      </c>
      <c r="AA16" s="36">
        <v>0.38008531789895772</v>
      </c>
      <c r="AB16" s="36">
        <v>0.38683822625918329</v>
      </c>
      <c r="AC16" s="36">
        <v>0.39326056228984352</v>
      </c>
      <c r="AD16" s="36">
        <v>0.39937371126356008</v>
      </c>
      <c r="AE16" s="36">
        <v>0.40519748102332226</v>
      </c>
      <c r="AF16" s="36">
        <f t="shared" si="3"/>
        <v>0.41102125078308444</v>
      </c>
      <c r="AG16" t="str">
        <f t="shared" si="2"/>
        <v>B+</v>
      </c>
    </row>
    <row r="17" spans="1:33" x14ac:dyDescent="0.25">
      <c r="A17" t="s">
        <v>275</v>
      </c>
      <c r="B17" s="36">
        <v>5.7886786056923219E-2</v>
      </c>
      <c r="C17" s="36">
        <v>9.8891152283710398E-2</v>
      </c>
      <c r="D17" s="36">
        <v>0.13418979096786759</v>
      </c>
      <c r="E17" s="36">
        <v>0.15846150952202873</v>
      </c>
      <c r="F17" s="36">
        <v>0.18271431252094072</v>
      </c>
      <c r="G17" s="36">
        <v>0.2012979135510351</v>
      </c>
      <c r="H17" s="36">
        <v>0.21431549174056455</v>
      </c>
      <c r="I17" s="36">
        <v>0.22556251904959743</v>
      </c>
      <c r="J17" s="36">
        <v>0.2359899997881266</v>
      </c>
      <c r="K17" s="36">
        <v>0.24573156085452272</v>
      </c>
      <c r="L17" s="36">
        <v>0.26684196300525281</v>
      </c>
      <c r="M17" s="36">
        <v>0.28421520479700252</v>
      </c>
      <c r="N17" s="36">
        <v>0.30041284367256449</v>
      </c>
      <c r="O17" s="36">
        <v>0.31551475063895196</v>
      </c>
      <c r="P17" s="36">
        <v>0.32960032998658628</v>
      </c>
      <c r="Q17" s="36">
        <v>0.34274641030534608</v>
      </c>
      <c r="R17" s="36">
        <v>0.35502597092626276</v>
      </c>
      <c r="S17" s="36">
        <v>0.36650744478527536</v>
      </c>
      <c r="T17" s="36">
        <v>0.37725441267034399</v>
      </c>
      <c r="U17" s="36">
        <v>0.38732555744117619</v>
      </c>
      <c r="V17" s="36">
        <v>0.39677478558024948</v>
      </c>
      <c r="W17" s="36">
        <v>0.40565145136465613</v>
      </c>
      <c r="X17" s="36">
        <v>0.41400063898781131</v>
      </c>
      <c r="Y17" s="36">
        <v>0.42186347226674037</v>
      </c>
      <c r="Z17" s="36">
        <v>0.42927743172334809</v>
      </c>
      <c r="AA17" s="36">
        <v>0.43627666597992426</v>
      </c>
      <c r="AB17" s="36">
        <v>0.4428922894009289</v>
      </c>
      <c r="AC17" s="36">
        <v>0.44915266135663851</v>
      </c>
      <c r="AD17" s="36">
        <v>0.45508364482364178</v>
      </c>
      <c r="AE17" s="36">
        <v>0.46070884359401643</v>
      </c>
      <c r="AF17" s="36">
        <f t="shared" si="3"/>
        <v>0.46633404236439108</v>
      </c>
      <c r="AG17" t="str">
        <f t="shared" si="2"/>
        <v>B</v>
      </c>
    </row>
    <row r="18" spans="1:33" x14ac:dyDescent="0.25">
      <c r="A18" t="s">
        <v>276</v>
      </c>
      <c r="B18" s="36">
        <v>9.1213595477867226E-2</v>
      </c>
      <c r="C18" s="36">
        <v>0.13922596740550952</v>
      </c>
      <c r="D18" s="36">
        <v>0.18083597540312601</v>
      </c>
      <c r="E18" s="36">
        <v>0.20876905901018952</v>
      </c>
      <c r="F18" s="36">
        <v>0.23668660714117307</v>
      </c>
      <c r="G18" s="36">
        <v>0.25717309346041628</v>
      </c>
      <c r="H18" s="36">
        <v>0.27282045377867109</v>
      </c>
      <c r="I18" s="36">
        <v>0.28624936681152674</v>
      </c>
      <c r="J18" s="36">
        <v>0.29760907244235685</v>
      </c>
      <c r="K18" s="36">
        <v>0.3081038785864274</v>
      </c>
      <c r="L18" s="36">
        <v>0.33071881488759197</v>
      </c>
      <c r="M18" s="36">
        <v>0.35157340448264929</v>
      </c>
      <c r="N18" s="36">
        <v>0.37090191615052265</v>
      </c>
      <c r="O18" s="36">
        <v>0.38882035463462095</v>
      </c>
      <c r="P18" s="36">
        <v>0.40544176358675049</v>
      </c>
      <c r="Q18" s="36">
        <v>0.42087374331595162</v>
      </c>
      <c r="R18" s="36">
        <v>0.4352170704962956</v>
      </c>
      <c r="S18" s="36">
        <v>0.44856506130571511</v>
      </c>
      <c r="T18" s="36">
        <v>0.46100342493720686</v>
      </c>
      <c r="U18" s="36">
        <v>0.47261043029511945</v>
      </c>
      <c r="V18" s="36">
        <v>0.48345726305125852</v>
      </c>
      <c r="W18" s="36">
        <v>0.49360848900358834</v>
      </c>
      <c r="X18" s="36">
        <v>0.50312256717320736</v>
      </c>
      <c r="Y18" s="36">
        <v>0.51205237544064675</v>
      </c>
      <c r="Z18" s="36">
        <v>0.52044572505000986</v>
      </c>
      <c r="AA18" s="36">
        <v>0.52834584966098774</v>
      </c>
      <c r="AB18" s="36">
        <v>0.53579186100776099</v>
      </c>
      <c r="AC18" s="36">
        <v>0.54281916749924064</v>
      </c>
      <c r="AD18" s="36">
        <v>0.5494598548924754</v>
      </c>
      <c r="AE18" s="36">
        <v>0.55574302993896285</v>
      </c>
      <c r="AF18" s="36">
        <f t="shared" si="3"/>
        <v>0.56202620498545031</v>
      </c>
      <c r="AG18" t="str">
        <f t="shared" si="2"/>
        <v>B-</v>
      </c>
    </row>
    <row r="19" spans="1:33" x14ac:dyDescent="0.25">
      <c r="A19" t="s">
        <v>277</v>
      </c>
      <c r="B19" s="36">
        <v>0.14211762234012576</v>
      </c>
      <c r="C19" s="36">
        <v>0.19644820485643197</v>
      </c>
      <c r="D19" s="36">
        <v>0.24541189348524062</v>
      </c>
      <c r="E19" s="36">
        <v>0.27942644290535362</v>
      </c>
      <c r="F19" s="36">
        <v>0.31341451589668956</v>
      </c>
      <c r="G19" s="36">
        <v>0.33731680218399346</v>
      </c>
      <c r="H19" s="36">
        <v>0.35818248152217991</v>
      </c>
      <c r="I19" s="36">
        <v>0.37713972191032147</v>
      </c>
      <c r="J19" s="36">
        <v>0.39278416809299838</v>
      </c>
      <c r="K19" s="36">
        <v>0.40801102926269039</v>
      </c>
      <c r="L19" s="36">
        <v>0.43276740392722252</v>
      </c>
      <c r="M19" s="36">
        <v>0.4555168748937059</v>
      </c>
      <c r="N19" s="36">
        <v>0.4763018510438386</v>
      </c>
      <c r="O19" s="36">
        <v>0.49533002215957739</v>
      </c>
      <c r="P19" s="36">
        <v>0.51278745339013287</v>
      </c>
      <c r="Q19" s="36">
        <v>0.5288396940878336</v>
      </c>
      <c r="R19" s="36">
        <v>0.54363339327517635</v>
      </c>
      <c r="S19" s="36">
        <v>0.55729811980591792</v>
      </c>
      <c r="T19" s="36">
        <v>0.56994820610280128</v>
      </c>
      <c r="U19" s="36">
        <v>0.58168451205895522</v>
      </c>
      <c r="V19" s="36">
        <v>0.59259605497439227</v>
      </c>
      <c r="W19" s="36">
        <v>0.60276148204108082</v>
      </c>
      <c r="X19" s="36">
        <v>0.61225038039117829</v>
      </c>
      <c r="Y19" s="36">
        <v>0.62112443039590437</v>
      </c>
      <c r="Z19" s="36">
        <v>0.62943841359689834</v>
      </c>
      <c r="AA19" s="36">
        <v>0.63724108924033862</v>
      </c>
      <c r="AB19" s="36">
        <v>0.64457595408794899</v>
      </c>
      <c r="AC19" s="36">
        <v>0.65148189978706594</v>
      </c>
      <c r="AD19" s="36">
        <v>0.65799378109678908</v>
      </c>
      <c r="AE19" s="36">
        <v>0.66414290700335099</v>
      </c>
      <c r="AF19" s="36">
        <f t="shared" si="3"/>
        <v>0.6702920329099129</v>
      </c>
      <c r="AG19" t="str">
        <f t="shared" si="2"/>
        <v>CCC+</v>
      </c>
    </row>
    <row r="20" spans="1:33" x14ac:dyDescent="0.25">
      <c r="A20" t="s">
        <v>278</v>
      </c>
      <c r="B20" s="36">
        <v>0.21258447406117267</v>
      </c>
      <c r="C20" s="36">
        <v>0.27479253393764236</v>
      </c>
      <c r="D20" s="36">
        <v>0.33420140660351733</v>
      </c>
      <c r="E20" s="36">
        <v>0.37751445032612879</v>
      </c>
      <c r="F20" s="36">
        <v>0.42074869960224731</v>
      </c>
      <c r="G20" s="36">
        <v>0.45014063638957741</v>
      </c>
      <c r="H20" s="36">
        <v>0.47817804844091477</v>
      </c>
      <c r="I20" s="36">
        <v>0.50536442842613194</v>
      </c>
      <c r="J20" s="36">
        <v>0.53105882809057714</v>
      </c>
      <c r="K20" s="36">
        <v>0.55682133579811754</v>
      </c>
      <c r="L20" s="36">
        <v>0.57705017376957668</v>
      </c>
      <c r="M20" s="36">
        <v>0.59503909487109008</v>
      </c>
      <c r="N20" s="36">
        <v>0.61086021800307044</v>
      </c>
      <c r="O20" s="36">
        <v>0.62486876979744455</v>
      </c>
      <c r="P20" s="36">
        <v>0.6373523091761244</v>
      </c>
      <c r="Q20" s="36">
        <v>0.64854442228064568</v>
      </c>
      <c r="R20" s="36">
        <v>0.65863564347355208</v>
      </c>
      <c r="S20" s="36">
        <v>0.66778212997012754</v>
      </c>
      <c r="T20" s="36">
        <v>0.67611253581534081</v>
      </c>
      <c r="U20" s="36">
        <v>0.68373345278886688</v>
      </c>
      <c r="V20" s="36">
        <v>0.69073371644999215</v>
      </c>
      <c r="W20" s="36">
        <v>0.69718781648070793</v>
      </c>
      <c r="X20" s="36">
        <v>0.70315860155089716</v>
      </c>
      <c r="Y20" s="36">
        <v>0.70869942911589001</v>
      </c>
      <c r="Z20" s="36">
        <v>0.71385587857970223</v>
      </c>
      <c r="AA20" s="36">
        <v>0.71866712081298845</v>
      </c>
      <c r="AB20" s="36">
        <v>0.72316701690579321</v>
      </c>
      <c r="AC20" s="36">
        <v>0.72738500322124966</v>
      </c>
      <c r="AD20" s="36">
        <v>0.73134680742397196</v>
      </c>
      <c r="AE20" s="36">
        <v>0.73507503046930267</v>
      </c>
      <c r="AF20" s="36">
        <f t="shared" si="3"/>
        <v>0.73880325351463338</v>
      </c>
      <c r="AG20" t="str">
        <f t="shared" si="2"/>
        <v>CCC</v>
      </c>
    </row>
    <row r="21" spans="1:33" x14ac:dyDescent="0.25">
      <c r="A21" t="s">
        <v>279</v>
      </c>
      <c r="B21" s="36">
        <v>0.36410782380142892</v>
      </c>
      <c r="C21" s="36">
        <v>0.43043989891576029</v>
      </c>
      <c r="D21" s="36">
        <v>0.49351283867548729</v>
      </c>
      <c r="E21" s="36">
        <v>0.53913802599871707</v>
      </c>
      <c r="F21" s="36">
        <v>0.58341953264085011</v>
      </c>
      <c r="G21" s="36">
        <v>0.61235392760090546</v>
      </c>
      <c r="H21" s="36">
        <v>0.64083940979365006</v>
      </c>
      <c r="I21" s="36">
        <v>0.6689087847515286</v>
      </c>
      <c r="J21" s="36">
        <v>0.69659077929934254</v>
      </c>
      <c r="K21" s="36">
        <v>0.7242582412371984</v>
      </c>
      <c r="L21" s="36">
        <v>0.73751323754078879</v>
      </c>
      <c r="M21" s="36">
        <v>0.74890117431852787</v>
      </c>
      <c r="N21" s="36">
        <v>0.75854041020160523</v>
      </c>
      <c r="O21" s="36">
        <v>0.7667908605018835</v>
      </c>
      <c r="P21" s="36">
        <v>0.77392787224365145</v>
      </c>
      <c r="Q21" s="36">
        <v>0.78016358930132601</v>
      </c>
      <c r="R21" s="36">
        <v>0.78566261164714246</v>
      </c>
      <c r="S21" s="36">
        <v>0.79055356320012904</v>
      </c>
      <c r="T21" s="36">
        <v>0.79493769309201912</v>
      </c>
      <c r="U21" s="36">
        <v>0.79889530699704059</v>
      </c>
      <c r="V21" s="36">
        <v>0.80249059999481864</v>
      </c>
      <c r="W21" s="36">
        <v>0.80577530503429007</v>
      </c>
      <c r="X21" s="36">
        <v>0.80879145942307884</v>
      </c>
      <c r="Y21" s="36">
        <v>0.81157351165983838</v>
      </c>
      <c r="Z21" s="36">
        <v>0.81414993291788562</v>
      </c>
      <c r="AA21" s="36">
        <v>0.81654445516977359</v>
      </c>
      <c r="AB21" s="36">
        <v>0.81877702688365961</v>
      </c>
      <c r="AC21" s="36">
        <v>0.82086455431316407</v>
      </c>
      <c r="AD21" s="36">
        <v>0.82282147943274053</v>
      </c>
      <c r="AE21" s="36">
        <v>0.82466023295421886</v>
      </c>
      <c r="AF21" s="36">
        <f t="shared" si="3"/>
        <v>0.82649898647569719</v>
      </c>
      <c r="AG21" t="str">
        <f t="shared" si="2"/>
        <v>CCC-</v>
      </c>
    </row>
    <row r="22" spans="1:33" x14ac:dyDescent="0.25">
      <c r="A22" t="s">
        <v>280</v>
      </c>
      <c r="B22" s="36">
        <v>0.71407419177511133</v>
      </c>
      <c r="C22" s="36">
        <v>0.75504153034754917</v>
      </c>
      <c r="D22" s="36">
        <v>0.79025299736213583</v>
      </c>
      <c r="E22" s="36">
        <v>0.8138917658185072</v>
      </c>
      <c r="F22" s="36">
        <v>0.83559081025849435</v>
      </c>
      <c r="G22" s="36">
        <v>0.84918210949877992</v>
      </c>
      <c r="H22" s="36">
        <v>0.86215047257768485</v>
      </c>
      <c r="I22" s="36">
        <v>0.87455870416966164</v>
      </c>
      <c r="J22" s="36">
        <v>0.88646019779518903</v>
      </c>
      <c r="K22" s="36">
        <v>0.89833178725902829</v>
      </c>
      <c r="L22" s="36">
        <v>0.90348984023822176</v>
      </c>
      <c r="M22" s="36">
        <v>0.90811636870719503</v>
      </c>
      <c r="N22" s="36">
        <v>0.91199594512919846</v>
      </c>
      <c r="O22" s="36">
        <v>0.91529054465840198</v>
      </c>
      <c r="P22" s="36">
        <v>0.91812151055369562</v>
      </c>
      <c r="Q22" s="36">
        <v>0.92058075701646325</v>
      </c>
      <c r="R22" s="36">
        <v>0.92273861494756004</v>
      </c>
      <c r="S22" s="36">
        <v>0.92464941696507619</v>
      </c>
      <c r="T22" s="36">
        <v>0.92635552633959806</v>
      </c>
      <c r="U22" s="36">
        <v>0.92789027566721727</v>
      </c>
      <c r="V22" s="36">
        <v>0.9292801304798366</v>
      </c>
      <c r="W22" s="36">
        <v>0.93054629522792864</v>
      </c>
      <c r="X22" s="36">
        <v>0.93170591404033465</v>
      </c>
      <c r="Y22" s="36">
        <v>0.93277297450416485</v>
      </c>
      <c r="Z22" s="36">
        <v>0.93375899219216973</v>
      </c>
      <c r="AA22" s="36">
        <v>0.9346735322692904</v>
      </c>
      <c r="AB22" s="36">
        <v>0.9355246093249685</v>
      </c>
      <c r="AC22" s="36">
        <v>0.93631899568979404</v>
      </c>
      <c r="AD22" s="36">
        <v>0.93706246062061438</v>
      </c>
      <c r="AE22" s="36">
        <v>0.93775995700130399</v>
      </c>
      <c r="AF22" s="36">
        <f t="shared" si="3"/>
        <v>0.9384574533819936</v>
      </c>
      <c r="AG22" t="str">
        <f t="shared" si="2"/>
        <v>CC</v>
      </c>
    </row>
    <row r="23" spans="1:33" x14ac:dyDescent="0.25">
      <c r="A23" t="s">
        <v>281</v>
      </c>
      <c r="B23" s="36">
        <f>(B22+B24)/2</f>
        <v>0.85703709588755572</v>
      </c>
      <c r="C23" s="36">
        <f t="shared" ref="C23:AF23" si="4">(C22+C24)/2</f>
        <v>0.87752076517377464</v>
      </c>
      <c r="D23" s="36">
        <f t="shared" si="4"/>
        <v>0.89512649868106786</v>
      </c>
      <c r="E23" s="36">
        <f t="shared" si="4"/>
        <v>0.9069458829092536</v>
      </c>
      <c r="F23" s="36">
        <f t="shared" si="4"/>
        <v>0.91779540512924718</v>
      </c>
      <c r="G23" s="36">
        <f t="shared" si="4"/>
        <v>0.92459105474938996</v>
      </c>
      <c r="H23" s="36">
        <f t="shared" si="4"/>
        <v>0.93107523628884237</v>
      </c>
      <c r="I23" s="36">
        <f t="shared" si="4"/>
        <v>0.93727935208483082</v>
      </c>
      <c r="J23" s="36">
        <f t="shared" si="4"/>
        <v>0.94323009889759457</v>
      </c>
      <c r="K23" s="36">
        <f t="shared" si="4"/>
        <v>0.9491658936295142</v>
      </c>
      <c r="L23" s="36">
        <f t="shared" si="4"/>
        <v>0.95174492011911083</v>
      </c>
      <c r="M23" s="36">
        <f t="shared" si="4"/>
        <v>0.95405818435359757</v>
      </c>
      <c r="N23" s="36">
        <f t="shared" si="4"/>
        <v>0.95599797256459929</v>
      </c>
      <c r="O23" s="36">
        <f t="shared" si="4"/>
        <v>0.95764527232920105</v>
      </c>
      <c r="P23" s="36">
        <f t="shared" si="4"/>
        <v>0.95906075527684775</v>
      </c>
      <c r="Q23" s="36">
        <f t="shared" si="4"/>
        <v>0.96029037850823162</v>
      </c>
      <c r="R23" s="36">
        <f t="shared" si="4"/>
        <v>0.96136930747378002</v>
      </c>
      <c r="S23" s="36">
        <f t="shared" si="4"/>
        <v>0.96232470848253815</v>
      </c>
      <c r="T23" s="36">
        <f t="shared" si="4"/>
        <v>0.96317776316979908</v>
      </c>
      <c r="U23" s="36">
        <f t="shared" si="4"/>
        <v>0.96394513783360858</v>
      </c>
      <c r="V23" s="36">
        <f t="shared" si="4"/>
        <v>0.9646400652399183</v>
      </c>
      <c r="W23" s="36">
        <f t="shared" si="4"/>
        <v>0.96527314761396432</v>
      </c>
      <c r="X23" s="36">
        <f t="shared" si="4"/>
        <v>0.96585295702016727</v>
      </c>
      <c r="Y23" s="36">
        <f t="shared" si="4"/>
        <v>0.96638648725208243</v>
      </c>
      <c r="Z23" s="36">
        <f t="shared" si="4"/>
        <v>0.96687949609608492</v>
      </c>
      <c r="AA23" s="36">
        <f t="shared" si="4"/>
        <v>0.96733676613464525</v>
      </c>
      <c r="AB23" s="36">
        <f t="shared" si="4"/>
        <v>0.96776230466248425</v>
      </c>
      <c r="AC23" s="36">
        <f t="shared" si="4"/>
        <v>0.96815949784489708</v>
      </c>
      <c r="AD23" s="36">
        <f t="shared" si="4"/>
        <v>0.96853123031030719</v>
      </c>
      <c r="AE23" s="36">
        <f t="shared" si="4"/>
        <v>0.96887997850065199</v>
      </c>
      <c r="AF23" s="36">
        <f t="shared" si="4"/>
        <v>0.9692287266909968</v>
      </c>
      <c r="AG23" t="str">
        <f t="shared" si="2"/>
        <v>C</v>
      </c>
    </row>
    <row r="24" spans="1:33" x14ac:dyDescent="0.25">
      <c r="A24" t="s">
        <v>282</v>
      </c>
      <c r="B24" s="36">
        <v>1</v>
      </c>
      <c r="C24" s="36">
        <f>MIN(1,ROUND((1+$B24)^C$26-1,5))</f>
        <v>1</v>
      </c>
      <c r="D24" s="36">
        <f t="shared" ref="D24:AF24" si="5">MIN(1,ROUND((1+$B24)^D$26-1,5))</f>
        <v>1</v>
      </c>
      <c r="E24" s="36">
        <f t="shared" si="5"/>
        <v>1</v>
      </c>
      <c r="F24" s="36">
        <f t="shared" si="5"/>
        <v>1</v>
      </c>
      <c r="G24" s="36">
        <f t="shared" si="5"/>
        <v>1</v>
      </c>
      <c r="H24" s="36">
        <f t="shared" si="5"/>
        <v>1</v>
      </c>
      <c r="I24" s="36">
        <f t="shared" si="5"/>
        <v>1</v>
      </c>
      <c r="J24" s="36">
        <f t="shared" si="5"/>
        <v>1</v>
      </c>
      <c r="K24" s="36">
        <f t="shared" si="5"/>
        <v>1</v>
      </c>
      <c r="L24" s="36">
        <f t="shared" si="5"/>
        <v>1</v>
      </c>
      <c r="M24" s="36">
        <f t="shared" si="5"/>
        <v>1</v>
      </c>
      <c r="N24" s="36">
        <f t="shared" si="5"/>
        <v>1</v>
      </c>
      <c r="O24" s="36">
        <f t="shared" si="5"/>
        <v>1</v>
      </c>
      <c r="P24" s="36">
        <f t="shared" si="5"/>
        <v>1</v>
      </c>
      <c r="Q24" s="36">
        <f t="shared" si="5"/>
        <v>1</v>
      </c>
      <c r="R24" s="36">
        <f t="shared" si="5"/>
        <v>1</v>
      </c>
      <c r="S24" s="36">
        <f t="shared" si="5"/>
        <v>1</v>
      </c>
      <c r="T24" s="36">
        <f t="shared" si="5"/>
        <v>1</v>
      </c>
      <c r="U24" s="36">
        <f t="shared" si="5"/>
        <v>1</v>
      </c>
      <c r="V24" s="36">
        <f t="shared" si="5"/>
        <v>1</v>
      </c>
      <c r="W24" s="36">
        <f t="shared" si="5"/>
        <v>1</v>
      </c>
      <c r="X24" s="36">
        <f t="shared" si="5"/>
        <v>1</v>
      </c>
      <c r="Y24" s="36">
        <f t="shared" si="5"/>
        <v>1</v>
      </c>
      <c r="Z24" s="36">
        <f t="shared" si="5"/>
        <v>1</v>
      </c>
      <c r="AA24" s="36">
        <f t="shared" si="5"/>
        <v>1</v>
      </c>
      <c r="AB24" s="36">
        <f t="shared" si="5"/>
        <v>1</v>
      </c>
      <c r="AC24" s="36">
        <f t="shared" si="5"/>
        <v>1</v>
      </c>
      <c r="AD24" s="36">
        <f t="shared" si="5"/>
        <v>1</v>
      </c>
      <c r="AE24" s="36">
        <f t="shared" si="5"/>
        <v>1</v>
      </c>
      <c r="AF24" s="36">
        <f t="shared" si="5"/>
        <v>1</v>
      </c>
      <c r="AG24" t="s">
        <v>282</v>
      </c>
    </row>
    <row r="26" spans="1:33" x14ac:dyDescent="0.25">
      <c r="B26" s="37">
        <v>1</v>
      </c>
      <c r="C26">
        <v>2</v>
      </c>
      <c r="D26">
        <v>3</v>
      </c>
      <c r="E26">
        <v>4</v>
      </c>
      <c r="F26">
        <v>5</v>
      </c>
      <c r="G26">
        <v>6</v>
      </c>
      <c r="H26">
        <v>7</v>
      </c>
      <c r="I26">
        <v>8</v>
      </c>
      <c r="J26">
        <v>9</v>
      </c>
      <c r="K26">
        <v>10</v>
      </c>
      <c r="L26">
        <v>11</v>
      </c>
      <c r="M26">
        <v>12</v>
      </c>
      <c r="N26">
        <v>13</v>
      </c>
      <c r="O26">
        <v>14</v>
      </c>
      <c r="P26">
        <v>15</v>
      </c>
      <c r="Q26">
        <v>16</v>
      </c>
      <c r="R26">
        <v>17</v>
      </c>
      <c r="S26">
        <v>18</v>
      </c>
      <c r="T26">
        <v>19</v>
      </c>
      <c r="U26">
        <v>20</v>
      </c>
      <c r="V26">
        <v>21</v>
      </c>
      <c r="W26">
        <v>22</v>
      </c>
      <c r="X26">
        <v>23</v>
      </c>
      <c r="Y26">
        <v>24</v>
      </c>
      <c r="Z26">
        <v>25</v>
      </c>
      <c r="AA26">
        <v>26</v>
      </c>
      <c r="AB26">
        <v>27</v>
      </c>
      <c r="AC26">
        <v>28</v>
      </c>
      <c r="AD26">
        <v>29</v>
      </c>
      <c r="AE26">
        <v>30</v>
      </c>
      <c r="AF26">
        <v>31</v>
      </c>
    </row>
    <row r="28" spans="1:33" x14ac:dyDescent="0.25">
      <c r="B28" s="64" t="s">
        <v>321</v>
      </c>
    </row>
  </sheetData>
  <mergeCells count="1">
    <mergeCell ref="B1:AF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documentation</vt:lpstr>
      <vt:lpstr>model</vt:lpstr>
      <vt:lpstr>series</vt:lpstr>
      <vt:lpstr>adjustments</vt:lpstr>
      <vt:lpstr>ratingmap</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dc:creator>
  <cp:lastModifiedBy>Marc</cp:lastModifiedBy>
  <dcterms:created xsi:type="dcterms:W3CDTF">2012-01-08T23:36:44Z</dcterms:created>
  <dcterms:modified xsi:type="dcterms:W3CDTF">2013-03-12T01:10:41Z</dcterms:modified>
</cp:coreProperties>
</file>