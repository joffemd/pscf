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45" yWindow="690" windowWidth="28755" windowHeight="11055"/>
  </bookViews>
  <sheets>
    <sheet name="documentation" sheetId="12" r:id="rId1"/>
    <sheet name="model" sheetId="10" r:id="rId2"/>
    <sheet name="series" sheetId="8" r:id="rId3"/>
    <sheet name="adjustments" sheetId="13" r:id="rId4"/>
    <sheet name="ratingmap" sheetId="14" r:id="rId5"/>
    <sheet name="results" sheetId="15" r:id="rId6"/>
  </sheets>
  <functionGroups builtInGroupCount="17"/>
  <definedNames>
    <definedName name="DefaultRatios">#REF!</definedName>
    <definedName name="SeriesTypes">#REF!</definedName>
    <definedName name="xdefaultratios">#REF!</definedName>
  </definedNames>
  <calcPr calcId="145621"/>
</workbook>
</file>

<file path=xl/calcChain.xml><?xml version="1.0" encoding="utf-8"?>
<calcChain xmlns="http://schemas.openxmlformats.org/spreadsheetml/2006/main">
  <c r="AF24" i="14" l="1"/>
  <c r="AE24" i="14"/>
  <c r="AD24" i="14"/>
  <c r="AC24" i="14"/>
  <c r="AB24" i="14"/>
  <c r="AA24" i="14"/>
  <c r="Z24" i="14"/>
  <c r="Y24" i="14"/>
  <c r="X24" i="14"/>
  <c r="W24" i="14"/>
  <c r="V24" i="14"/>
  <c r="U24" i="14"/>
  <c r="T24" i="14"/>
  <c r="S24" i="14"/>
  <c r="R24" i="14"/>
  <c r="Q24" i="14"/>
  <c r="P24" i="14"/>
  <c r="O24" i="14"/>
  <c r="N24" i="14"/>
  <c r="M24" i="14"/>
  <c r="L24" i="14"/>
  <c r="K24" i="14"/>
  <c r="J24" i="14"/>
  <c r="I24" i="14"/>
  <c r="H24" i="14"/>
  <c r="G24" i="14"/>
  <c r="F24" i="14"/>
  <c r="E24" i="14"/>
  <c r="D24" i="14"/>
  <c r="C24" i="14"/>
  <c r="AG23" i="14"/>
  <c r="AF23" i="14"/>
  <c r="AE23" i="14"/>
  <c r="AD23" i="14"/>
  <c r="AC23" i="14"/>
  <c r="AB23" i="14"/>
  <c r="AA23" i="14"/>
  <c r="Z23" i="14"/>
  <c r="Y23" i="14"/>
  <c r="X23" i="14"/>
  <c r="W23" i="14"/>
  <c r="V23" i="14"/>
  <c r="U23" i="14"/>
  <c r="T23" i="14"/>
  <c r="S23" i="14"/>
  <c r="R23" i="14"/>
  <c r="Q23" i="14"/>
  <c r="P23" i="14"/>
  <c r="O23" i="14"/>
  <c r="N23" i="14"/>
  <c r="M23" i="14"/>
  <c r="L23" i="14"/>
  <c r="K23" i="14"/>
  <c r="J23" i="14"/>
  <c r="I23" i="14"/>
  <c r="H23" i="14"/>
  <c r="G23" i="14"/>
  <c r="F23" i="14"/>
  <c r="E23" i="14"/>
  <c r="D23" i="14"/>
  <c r="C23" i="14"/>
  <c r="AG22" i="14"/>
  <c r="AF22" i="14"/>
  <c r="AE22" i="14"/>
  <c r="AD22" i="14"/>
  <c r="AC22" i="14"/>
  <c r="AB22" i="14"/>
  <c r="AA22" i="14"/>
  <c r="Z22" i="14"/>
  <c r="Y22" i="14"/>
  <c r="X22" i="14"/>
  <c r="W22" i="14"/>
  <c r="V22" i="14"/>
  <c r="U22" i="14"/>
  <c r="T22" i="14"/>
  <c r="S22" i="14"/>
  <c r="R22" i="14"/>
  <c r="Q22" i="14"/>
  <c r="P22" i="14"/>
  <c r="O22" i="14"/>
  <c r="N22" i="14"/>
  <c r="M22" i="14"/>
  <c r="L22" i="14"/>
  <c r="K22" i="14"/>
  <c r="J22" i="14"/>
  <c r="I22" i="14"/>
  <c r="H22" i="14"/>
  <c r="G22" i="14"/>
  <c r="F22" i="14"/>
  <c r="E22" i="14"/>
  <c r="D22" i="14"/>
  <c r="C22" i="14"/>
  <c r="AG21" i="14"/>
  <c r="AF21" i="14"/>
  <c r="AE21" i="14"/>
  <c r="AD21" i="14"/>
  <c r="AC21" i="14"/>
  <c r="AB21" i="14"/>
  <c r="AA21" i="14"/>
  <c r="Z21" i="14"/>
  <c r="Y21" i="14"/>
  <c r="X21" i="14"/>
  <c r="W21" i="14"/>
  <c r="V21" i="14"/>
  <c r="U21" i="14"/>
  <c r="T21" i="14"/>
  <c r="S21" i="14"/>
  <c r="R21" i="14"/>
  <c r="Q21" i="14"/>
  <c r="P21" i="14"/>
  <c r="O21" i="14"/>
  <c r="N21" i="14"/>
  <c r="M21" i="14"/>
  <c r="L21" i="14"/>
  <c r="K21" i="14"/>
  <c r="J21" i="14"/>
  <c r="I21" i="14"/>
  <c r="H21" i="14"/>
  <c r="G21" i="14"/>
  <c r="F21" i="14"/>
  <c r="E21" i="14"/>
  <c r="D21" i="14"/>
  <c r="C21" i="14"/>
  <c r="AG20" i="14"/>
  <c r="AF20" i="14"/>
  <c r="AE20" i="14"/>
  <c r="AD20" i="14"/>
  <c r="AC20" i="14"/>
  <c r="AB20" i="14"/>
  <c r="AA20" i="14"/>
  <c r="Z20" i="14"/>
  <c r="Y20" i="14"/>
  <c r="X20" i="14"/>
  <c r="W20" i="14"/>
  <c r="V20" i="14"/>
  <c r="U20" i="14"/>
  <c r="T20" i="14"/>
  <c r="S20" i="14"/>
  <c r="R20" i="14"/>
  <c r="Q20" i="14"/>
  <c r="P20" i="14"/>
  <c r="O20" i="14"/>
  <c r="N20" i="14"/>
  <c r="M20" i="14"/>
  <c r="L20" i="14"/>
  <c r="K20" i="14"/>
  <c r="J20" i="14"/>
  <c r="I20" i="14"/>
  <c r="H20" i="14"/>
  <c r="G20" i="14"/>
  <c r="F20" i="14"/>
  <c r="E20" i="14"/>
  <c r="D20" i="14"/>
  <c r="C20" i="14"/>
  <c r="AG19" i="14"/>
  <c r="AF19" i="14"/>
  <c r="AE19" i="14"/>
  <c r="AD19" i="14"/>
  <c r="AC19" i="14"/>
  <c r="AB19" i="14"/>
  <c r="AA19" i="14"/>
  <c r="Z19" i="14"/>
  <c r="Y19" i="14"/>
  <c r="X19" i="14"/>
  <c r="W19" i="14"/>
  <c r="V19" i="14"/>
  <c r="U19" i="14"/>
  <c r="T19" i="14"/>
  <c r="S19" i="14"/>
  <c r="R19" i="14"/>
  <c r="Q19" i="14"/>
  <c r="P19" i="14"/>
  <c r="O19" i="14"/>
  <c r="N19" i="14"/>
  <c r="M19" i="14"/>
  <c r="L19" i="14"/>
  <c r="K19" i="14"/>
  <c r="J19" i="14"/>
  <c r="I19" i="14"/>
  <c r="H19" i="14"/>
  <c r="G19" i="14"/>
  <c r="F19" i="14"/>
  <c r="E19" i="14"/>
  <c r="D19" i="14"/>
  <c r="C19" i="14"/>
  <c r="AG18" i="14"/>
  <c r="AF18" i="14"/>
  <c r="AE18" i="14"/>
  <c r="AD18" i="14"/>
  <c r="AC18" i="14"/>
  <c r="AB18" i="14"/>
  <c r="AA18" i="14"/>
  <c r="Z18" i="14"/>
  <c r="Y18" i="14"/>
  <c r="X18" i="14"/>
  <c r="W18" i="14"/>
  <c r="V18" i="14"/>
  <c r="U18" i="14"/>
  <c r="T18" i="14"/>
  <c r="S18" i="14"/>
  <c r="R18" i="14"/>
  <c r="Q18" i="14"/>
  <c r="P18" i="14"/>
  <c r="O18" i="14"/>
  <c r="N18" i="14"/>
  <c r="M18" i="14"/>
  <c r="L18" i="14"/>
  <c r="K18" i="14"/>
  <c r="J18" i="14"/>
  <c r="I18" i="14"/>
  <c r="H18" i="14"/>
  <c r="G18" i="14"/>
  <c r="F18" i="14"/>
  <c r="E18" i="14"/>
  <c r="D18" i="14"/>
  <c r="C18" i="14"/>
  <c r="AG17" i="14"/>
  <c r="AF17" i="14"/>
  <c r="AE17" i="14"/>
  <c r="AD17" i="14"/>
  <c r="AC17" i="14"/>
  <c r="AB17" i="14"/>
  <c r="AA17" i="14"/>
  <c r="Z17" i="14"/>
  <c r="Y17" i="14"/>
  <c r="X17" i="14"/>
  <c r="W17" i="14"/>
  <c r="V17" i="14"/>
  <c r="U17" i="14"/>
  <c r="T17" i="14"/>
  <c r="S17" i="14"/>
  <c r="R17" i="14"/>
  <c r="Q17" i="14"/>
  <c r="P17" i="14"/>
  <c r="O17" i="14"/>
  <c r="N17" i="14"/>
  <c r="M17" i="14"/>
  <c r="L17" i="14"/>
  <c r="K17" i="14"/>
  <c r="J17" i="14"/>
  <c r="I17" i="14"/>
  <c r="H17" i="14"/>
  <c r="G17" i="14"/>
  <c r="F17" i="14"/>
  <c r="E17" i="14"/>
  <c r="D17" i="14"/>
  <c r="C17" i="14"/>
  <c r="AG16" i="14"/>
  <c r="AF16" i="14"/>
  <c r="AE16" i="14"/>
  <c r="AD16" i="14"/>
  <c r="AC16" i="14"/>
  <c r="AB16" i="14"/>
  <c r="AA16" i="14"/>
  <c r="Z16" i="14"/>
  <c r="Y16" i="14"/>
  <c r="X16" i="14"/>
  <c r="W16" i="14"/>
  <c r="V16" i="14"/>
  <c r="U16" i="14"/>
  <c r="T16" i="14"/>
  <c r="S16" i="14"/>
  <c r="R16" i="14"/>
  <c r="Q16" i="14"/>
  <c r="P16" i="14"/>
  <c r="O16" i="14"/>
  <c r="N16" i="14"/>
  <c r="M16" i="14"/>
  <c r="L16" i="14"/>
  <c r="K16" i="14"/>
  <c r="J16" i="14"/>
  <c r="I16" i="14"/>
  <c r="H16" i="14"/>
  <c r="G16" i="14"/>
  <c r="F16" i="14"/>
  <c r="E16" i="14"/>
  <c r="D16" i="14"/>
  <c r="C16" i="14"/>
  <c r="AG15" i="14"/>
  <c r="AF15" i="14"/>
  <c r="AE15" i="14"/>
  <c r="AD15" i="14"/>
  <c r="AC15" i="14"/>
  <c r="AB15" i="14"/>
  <c r="AA15" i="14"/>
  <c r="Z15" i="14"/>
  <c r="Y15" i="14"/>
  <c r="X15" i="14"/>
  <c r="W15" i="14"/>
  <c r="V15" i="14"/>
  <c r="U15" i="14"/>
  <c r="T15" i="14"/>
  <c r="S15" i="14"/>
  <c r="R15" i="14"/>
  <c r="Q15" i="14"/>
  <c r="P15" i="14"/>
  <c r="O15" i="14"/>
  <c r="N15" i="14"/>
  <c r="M15" i="14"/>
  <c r="L15" i="14"/>
  <c r="K15" i="14"/>
  <c r="J15" i="14"/>
  <c r="I15" i="14"/>
  <c r="H15" i="14"/>
  <c r="G15" i="14"/>
  <c r="F15" i="14"/>
  <c r="E15" i="14"/>
  <c r="D15" i="14"/>
  <c r="C15" i="14"/>
  <c r="AG14" i="14"/>
  <c r="AF14" i="14"/>
  <c r="AE14" i="14"/>
  <c r="AD14" i="14"/>
  <c r="AC14" i="14"/>
  <c r="AB14" i="14"/>
  <c r="AA14" i="14"/>
  <c r="Z14" i="14"/>
  <c r="Y14" i="14"/>
  <c r="X14" i="14"/>
  <c r="W14" i="14"/>
  <c r="V14" i="14"/>
  <c r="U14" i="14"/>
  <c r="T14" i="14"/>
  <c r="S14" i="14"/>
  <c r="R14" i="14"/>
  <c r="Q14" i="14"/>
  <c r="P14" i="14"/>
  <c r="O14" i="14"/>
  <c r="N14" i="14"/>
  <c r="M14" i="14"/>
  <c r="L14" i="14"/>
  <c r="K14" i="14"/>
  <c r="J14" i="14"/>
  <c r="I14" i="14"/>
  <c r="H14" i="14"/>
  <c r="G14" i="14"/>
  <c r="F14" i="14"/>
  <c r="E14" i="14"/>
  <c r="D14" i="14"/>
  <c r="C14" i="14"/>
  <c r="AG13" i="14"/>
  <c r="AF13" i="14"/>
  <c r="AE13" i="14"/>
  <c r="AD13" i="14"/>
  <c r="AC13" i="14"/>
  <c r="AB13" i="14"/>
  <c r="AA13" i="14"/>
  <c r="Z13" i="14"/>
  <c r="Y13" i="14"/>
  <c r="X13" i="14"/>
  <c r="W13" i="14"/>
  <c r="V13" i="14"/>
  <c r="U13" i="14"/>
  <c r="T13" i="14"/>
  <c r="S13" i="14"/>
  <c r="R13" i="14"/>
  <c r="Q13" i="14"/>
  <c r="P13" i="14"/>
  <c r="O13" i="14"/>
  <c r="N13" i="14"/>
  <c r="M13" i="14"/>
  <c r="L13" i="14"/>
  <c r="K13" i="14"/>
  <c r="J13" i="14"/>
  <c r="I13" i="14"/>
  <c r="H13" i="14"/>
  <c r="G13" i="14"/>
  <c r="F13" i="14"/>
  <c r="E13" i="14"/>
  <c r="D13" i="14"/>
  <c r="C13" i="14"/>
  <c r="AG12" i="14"/>
  <c r="AF12" i="14"/>
  <c r="AE12" i="14"/>
  <c r="AD12" i="14"/>
  <c r="AC12" i="14"/>
  <c r="AB12" i="14"/>
  <c r="AA12" i="14"/>
  <c r="Z12" i="14"/>
  <c r="Y12" i="14"/>
  <c r="X12" i="14"/>
  <c r="W12" i="14"/>
  <c r="V12" i="14"/>
  <c r="U12" i="14"/>
  <c r="T12" i="14"/>
  <c r="S12" i="14"/>
  <c r="R12" i="14"/>
  <c r="Q12" i="14"/>
  <c r="P12" i="14"/>
  <c r="O12" i="14"/>
  <c r="N12" i="14"/>
  <c r="M12" i="14"/>
  <c r="L12" i="14"/>
  <c r="K12" i="14"/>
  <c r="J12" i="14"/>
  <c r="I12" i="14"/>
  <c r="H12" i="14"/>
  <c r="G12" i="14"/>
  <c r="F12" i="14"/>
  <c r="E12" i="14"/>
  <c r="D12" i="14"/>
  <c r="C12" i="14"/>
  <c r="AG11" i="14"/>
  <c r="AF11" i="14"/>
  <c r="AE11" i="14"/>
  <c r="AD11" i="14"/>
  <c r="AC11" i="14"/>
  <c r="AB11" i="14"/>
  <c r="AA11" i="14"/>
  <c r="Z11" i="14"/>
  <c r="Y11" i="14"/>
  <c r="X11" i="14"/>
  <c r="W11" i="14"/>
  <c r="V11" i="14"/>
  <c r="U11" i="14"/>
  <c r="T11" i="14"/>
  <c r="S11" i="14"/>
  <c r="R11" i="14"/>
  <c r="Q11" i="14"/>
  <c r="P11" i="14"/>
  <c r="O11" i="14"/>
  <c r="N11" i="14"/>
  <c r="M11" i="14"/>
  <c r="L11" i="14"/>
  <c r="K11" i="14"/>
  <c r="J11" i="14"/>
  <c r="I11" i="14"/>
  <c r="H11" i="14"/>
  <c r="G11" i="14"/>
  <c r="F11" i="14"/>
  <c r="E11" i="14"/>
  <c r="D11" i="14"/>
  <c r="C11" i="14"/>
  <c r="AG10" i="14"/>
  <c r="AF10" i="14"/>
  <c r="AE10" i="14"/>
  <c r="AD10" i="14"/>
  <c r="AC10" i="14"/>
  <c r="AB10" i="14"/>
  <c r="AA10" i="14"/>
  <c r="Z10" i="14"/>
  <c r="Y10" i="14"/>
  <c r="X10" i="14"/>
  <c r="W10" i="14"/>
  <c r="V10" i="14"/>
  <c r="U10" i="14"/>
  <c r="T10" i="14"/>
  <c r="S10" i="14"/>
  <c r="R10" i="14"/>
  <c r="Q10" i="14"/>
  <c r="P10" i="14"/>
  <c r="O10" i="14"/>
  <c r="N10" i="14"/>
  <c r="M10" i="14"/>
  <c r="L10" i="14"/>
  <c r="K10" i="14"/>
  <c r="J10" i="14"/>
  <c r="I10" i="14"/>
  <c r="H10" i="14"/>
  <c r="G10" i="14"/>
  <c r="F10" i="14"/>
  <c r="E10" i="14"/>
  <c r="D10" i="14"/>
  <c r="C10" i="14"/>
  <c r="AG9" i="14"/>
  <c r="AF9" i="14"/>
  <c r="AE9" i="14"/>
  <c r="AD9" i="14"/>
  <c r="AC9" i="14"/>
  <c r="AB9" i="14"/>
  <c r="AA9" i="14"/>
  <c r="Z9" i="14"/>
  <c r="Y9" i="14"/>
  <c r="X9" i="14"/>
  <c r="W9" i="14"/>
  <c r="V9" i="14"/>
  <c r="U9" i="14"/>
  <c r="T9" i="14"/>
  <c r="S9" i="14"/>
  <c r="R9" i="14"/>
  <c r="Q9" i="14"/>
  <c r="P9" i="14"/>
  <c r="O9" i="14"/>
  <c r="N9" i="14"/>
  <c r="M9" i="14"/>
  <c r="L9" i="14"/>
  <c r="K9" i="14"/>
  <c r="J9" i="14"/>
  <c r="I9" i="14"/>
  <c r="H9" i="14"/>
  <c r="G9" i="14"/>
  <c r="F9" i="14"/>
  <c r="E9" i="14"/>
  <c r="D9" i="14"/>
  <c r="C9" i="14"/>
  <c r="AG8" i="14"/>
  <c r="AF8" i="14"/>
  <c r="AE8" i="14"/>
  <c r="AD8" i="14"/>
  <c r="AC8" i="14"/>
  <c r="AB8" i="14"/>
  <c r="AA8" i="14"/>
  <c r="Z8" i="14"/>
  <c r="Y8" i="14"/>
  <c r="X8" i="14"/>
  <c r="W8" i="14"/>
  <c r="V8" i="14"/>
  <c r="U8" i="14"/>
  <c r="T8" i="14"/>
  <c r="S8" i="14"/>
  <c r="R8" i="14"/>
  <c r="Q8" i="14"/>
  <c r="P8" i="14"/>
  <c r="O8" i="14"/>
  <c r="N8" i="14"/>
  <c r="M8" i="14"/>
  <c r="L8" i="14"/>
  <c r="K8" i="14"/>
  <c r="J8" i="14"/>
  <c r="I8" i="14"/>
  <c r="H8" i="14"/>
  <c r="G8" i="14"/>
  <c r="F8" i="14"/>
  <c r="E8" i="14"/>
  <c r="D8" i="14"/>
  <c r="C8" i="14"/>
  <c r="AG7" i="14"/>
  <c r="AF7" i="14"/>
  <c r="AE7" i="14"/>
  <c r="AD7" i="14"/>
  <c r="AC7" i="14"/>
  <c r="AB7" i="14"/>
  <c r="AA7" i="14"/>
  <c r="Z7" i="14"/>
  <c r="Y7" i="14"/>
  <c r="X7" i="14"/>
  <c r="W7" i="14"/>
  <c r="V7" i="14"/>
  <c r="U7" i="14"/>
  <c r="T7" i="14"/>
  <c r="S7" i="14"/>
  <c r="R7" i="14"/>
  <c r="Q7" i="14"/>
  <c r="P7" i="14"/>
  <c r="O7" i="14"/>
  <c r="N7" i="14"/>
  <c r="M7" i="14"/>
  <c r="L7" i="14"/>
  <c r="K7" i="14"/>
  <c r="J7" i="14"/>
  <c r="I7" i="14"/>
  <c r="H7" i="14"/>
  <c r="G7" i="14"/>
  <c r="F7" i="14"/>
  <c r="E7" i="14"/>
  <c r="D7" i="14"/>
  <c r="C7" i="14"/>
  <c r="AG6" i="14"/>
  <c r="AF6" i="14"/>
  <c r="AE6" i="14"/>
  <c r="AD6" i="14"/>
  <c r="AC6" i="14"/>
  <c r="AB6" i="14"/>
  <c r="AA6" i="14"/>
  <c r="Z6" i="14"/>
  <c r="Y6" i="14"/>
  <c r="X6" i="14"/>
  <c r="W6" i="14"/>
  <c r="V6" i="14"/>
  <c r="U6" i="14"/>
  <c r="T6" i="14"/>
  <c r="S6" i="14"/>
  <c r="R6" i="14"/>
  <c r="Q6" i="14"/>
  <c r="P6" i="14"/>
  <c r="O6" i="14"/>
  <c r="N6" i="14"/>
  <c r="M6" i="14"/>
  <c r="L6" i="14"/>
  <c r="K6" i="14"/>
  <c r="J6" i="14"/>
  <c r="I6" i="14"/>
  <c r="H6" i="14"/>
  <c r="G6" i="14"/>
  <c r="F6" i="14"/>
  <c r="E6" i="14"/>
  <c r="D6" i="14"/>
  <c r="C6" i="14"/>
  <c r="AG5" i="14"/>
  <c r="AF5" i="14"/>
  <c r="AE5" i="14"/>
  <c r="AD5" i="14"/>
  <c r="AC5" i="14"/>
  <c r="AB5" i="14"/>
  <c r="AA5" i="14"/>
  <c r="Z5" i="14"/>
  <c r="Y5" i="14"/>
  <c r="X5" i="14"/>
  <c r="W5" i="14"/>
  <c r="V5" i="14"/>
  <c r="U5" i="14"/>
  <c r="T5" i="14"/>
  <c r="S5" i="14"/>
  <c r="R5" i="14"/>
  <c r="Q5" i="14"/>
  <c r="P5" i="14"/>
  <c r="O5" i="14"/>
  <c r="N5" i="14"/>
  <c r="M5" i="14"/>
  <c r="L5" i="14"/>
  <c r="K5" i="14"/>
  <c r="J5" i="14"/>
  <c r="I5" i="14"/>
  <c r="H5" i="14"/>
  <c r="G5" i="14"/>
  <c r="F5" i="14"/>
  <c r="E5" i="14"/>
  <c r="D5" i="14"/>
  <c r="C5" i="14"/>
  <c r="AG4" i="14"/>
  <c r="AF4" i="14"/>
  <c r="AE4" i="14"/>
  <c r="AD4" i="14"/>
  <c r="AC4" i="14"/>
  <c r="AB4" i="14"/>
  <c r="AA4" i="14"/>
  <c r="Z4" i="14"/>
  <c r="Y4" i="14"/>
  <c r="X4" i="14"/>
  <c r="W4" i="14"/>
  <c r="V4" i="14"/>
  <c r="U4" i="14"/>
  <c r="T4" i="14"/>
  <c r="S4" i="14"/>
  <c r="R4" i="14"/>
  <c r="Q4" i="14"/>
  <c r="P4" i="14"/>
  <c r="O4" i="14"/>
  <c r="N4" i="14"/>
  <c r="M4" i="14"/>
  <c r="L4" i="14"/>
  <c r="K4" i="14"/>
  <c r="J4" i="14"/>
  <c r="I4" i="14"/>
  <c r="H4" i="14"/>
  <c r="G4" i="14"/>
  <c r="F4" i="14"/>
  <c r="E4" i="14"/>
  <c r="D4" i="14"/>
  <c r="C4" i="14"/>
  <c r="AG3" i="14"/>
  <c r="AF3" i="14"/>
  <c r="AE3" i="14"/>
  <c r="AD3" i="14"/>
  <c r="AC3" i="14"/>
  <c r="AB3" i="14"/>
  <c r="AA3" i="14"/>
  <c r="Z3" i="14"/>
  <c r="Y3" i="14"/>
  <c r="X3" i="14"/>
  <c r="W3" i="14"/>
  <c r="V3" i="14"/>
  <c r="U3" i="14"/>
  <c r="T3" i="14"/>
  <c r="S3" i="14"/>
  <c r="R3" i="14"/>
  <c r="Q3" i="14"/>
  <c r="P3" i="14"/>
  <c r="O3" i="14"/>
  <c r="N3" i="14"/>
  <c r="M3" i="14"/>
  <c r="L3" i="14"/>
  <c r="K3" i="14"/>
  <c r="J3" i="14"/>
  <c r="I3" i="14"/>
  <c r="H3" i="14"/>
  <c r="G3" i="14"/>
  <c r="F3" i="14"/>
  <c r="E3" i="14"/>
  <c r="D3" i="14"/>
  <c r="C3" i="14"/>
  <c r="E11" i="10" l="1"/>
</calcChain>
</file>

<file path=xl/sharedStrings.xml><?xml version="1.0" encoding="utf-8"?>
<sst xmlns="http://schemas.openxmlformats.org/spreadsheetml/2006/main" count="1657" uniqueCount="372">
  <si>
    <t>Debt/GDP</t>
  </si>
  <si>
    <t>Interest Expense/Total Revenue</t>
  </si>
  <si>
    <t>Government Entity</t>
  </si>
  <si>
    <t>Model Description</t>
  </si>
  <si>
    <t>Initial Year</t>
  </si>
  <si>
    <t>Number of Trials</t>
  </si>
  <si>
    <t>Parameter Name</t>
  </si>
  <si>
    <t>Parameter Value</t>
  </si>
  <si>
    <t>Series Name</t>
  </si>
  <si>
    <t>Series Type</t>
  </si>
  <si>
    <t>Expenditure</t>
  </si>
  <si>
    <t>Revenue</t>
  </si>
  <si>
    <t>Macroeconomic</t>
  </si>
  <si>
    <t>Debt</t>
  </si>
  <si>
    <t>Currency</t>
  </si>
  <si>
    <t>GDP</t>
  </si>
  <si>
    <t>Total Population</t>
  </si>
  <si>
    <t>Series Description</t>
  </si>
  <si>
    <t>totpop</t>
  </si>
  <si>
    <t>inflation</t>
  </si>
  <si>
    <t>corpinctax</t>
  </si>
  <si>
    <t>Corporate Income Tax</t>
  </si>
  <si>
    <t>othrev</t>
  </si>
  <si>
    <t>Other Revenues</t>
  </si>
  <si>
    <t>debt</t>
  </si>
  <si>
    <t>Surplus or Deficit</t>
  </si>
  <si>
    <t>Year 0</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</si>
  <si>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</si>
  <si>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</si>
  <si>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</si>
  <si>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</si>
  <si>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</si>
  <si>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</si>
  <si>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</si>
  <si>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</si>
  <si>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</si>
  <si>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</si>
  <si>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</si>
  <si>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</si>
  <si>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</si>
  <si>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</si>
  <si>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</si>
  <si>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</si>
  <si>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</si>
  <si>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</si>
  <si>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</si>
  <si>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</si>
  <si>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Year 21</t>
  </si>
  <si>
    <t>Year 22</t>
  </si>
  <si>
    <t>Year 23</t>
  </si>
  <si>
    <t>Year 24</t>
  </si>
  <si>
    <t>Year 25</t>
  </si>
  <si>
    <t>Year 26</t>
  </si>
  <si>
    <t>Year 27</t>
  </si>
  <si>
    <t>Year 28</t>
  </si>
  <si>
    <t>Year 29</t>
  </si>
  <si>
    <t>Year 30</t>
  </si>
  <si>
    <t>Projection Years</t>
  </si>
  <si>
    <t>Random Numbers</t>
  </si>
  <si>
    <t>Minimum</t>
  </si>
  <si>
    <t>Maximum</t>
  </si>
  <si>
    <t>Projection Comments</t>
  </si>
  <si>
    <t>totrev</t>
  </si>
  <si>
    <t>Total Revenues</t>
  </si>
  <si>
    <t>Total Expenditures</t>
  </si>
  <si>
    <t>Nominal GDP</t>
  </si>
  <si>
    <t>Sum of all expediture categories</t>
  </si>
  <si>
    <t>Sum of all revenue categories</t>
  </si>
  <si>
    <t>Total revenues less total expenditures</t>
  </si>
  <si>
    <t>Prior Year Debt Minus Surplus or Deficit</t>
  </si>
  <si>
    <t>General Inflation</t>
  </si>
  <si>
    <t>healthinflation</t>
  </si>
  <si>
    <t>Health Care Cost Inflation</t>
  </si>
  <si>
    <t>Health Care Cost Index</t>
  </si>
  <si>
    <t>Prior Year GDP Plus GDPGrowth</t>
  </si>
  <si>
    <t>Prior Year Price Index Plus Inflation</t>
  </si>
  <si>
    <t>Prior Year Health Cost Index Plus Health Inflation</t>
  </si>
  <si>
    <t>GDPgrowth</t>
  </si>
  <si>
    <t>Real GDP Growth</t>
  </si>
  <si>
    <t>Real GDP</t>
  </si>
  <si>
    <t>realGDP</t>
  </si>
  <si>
    <t>Real GDP * Price Index</t>
  </si>
  <si>
    <t>healthcostindex</t>
  </si>
  <si>
    <t>netinterest</t>
  </si>
  <si>
    <t>Average Treasury Rate Times Prior Year Debt</t>
  </si>
  <si>
    <t>surplus</t>
  </si>
  <si>
    <t>debt[y-1] - surplus[y]</t>
  </si>
  <si>
    <t>totexp</t>
  </si>
  <si>
    <t>realGDP[y-1] * (1 + GDPgrowth[y])</t>
  </si>
  <si>
    <t>healthcostindex[y-1] * (1 + healthinflation[y])</t>
  </si>
  <si>
    <t>realGDP[y] * priceIndex[y] * .01</t>
  </si>
  <si>
    <t>RandomMean</t>
  </si>
  <si>
    <t>RandomStdDevOrSigma</t>
  </si>
  <si>
    <t>Include in Output File?</t>
  </si>
  <si>
    <t>Y</t>
  </si>
  <si>
    <t>priceIndex</t>
  </si>
  <si>
    <t>Consumer Price Index</t>
  </si>
  <si>
    <t>priceIndex[y-1] * (1 + inflation[y])</t>
  </si>
  <si>
    <t>indinctax</t>
  </si>
  <si>
    <t>Individual Income Tax</t>
  </si>
  <si>
    <t>schoolpop</t>
  </si>
  <si>
    <t>Population Aged 5-19</t>
  </si>
  <si>
    <t>StatCan Population Estimates: Scenario M1</t>
  </si>
  <si>
    <t>seniorpop</t>
  </si>
  <si>
    <t>Population Aged 65+</t>
  </si>
  <si>
    <t>Inflation + 0.5%</t>
  </si>
  <si>
    <t>inflation[y] + .005</t>
  </si>
  <si>
    <t>federalassist</t>
  </si>
  <si>
    <t>Federal Assistance</t>
  </si>
  <si>
    <t>Percentage of GDP</t>
  </si>
  <si>
    <t>federalassist[1]/GDP[1]*GDP[y]</t>
  </si>
  <si>
    <t>indinctax[1]/GDP[1]*GDP[y]</t>
  </si>
  <si>
    <t>corpinctax[1]/GDP[1]*GDP[y]</t>
  </si>
  <si>
    <t>salestax</t>
  </si>
  <si>
    <t>Sales Tax</t>
  </si>
  <si>
    <t>salestax[1]/GDP[1]*GDP[y]</t>
  </si>
  <si>
    <t>sevtax</t>
  </si>
  <si>
    <t>Severance Tax</t>
  </si>
  <si>
    <t>othrev[1]/GDP[1]*GDP[y]</t>
  </si>
  <si>
    <t>federalassist[y]+indinctax[y]+corpinctax[y]+salestax[y]+sevtax[y]+othrev[y]</t>
  </si>
  <si>
    <t>health</t>
  </si>
  <si>
    <t>Health Expenditures</t>
  </si>
  <si>
    <t>Increases with Health Cost Inflation and Senior Population</t>
  </si>
  <si>
    <t>education</t>
  </si>
  <si>
    <t>Education Expenditures</t>
  </si>
  <si>
    <t>Increases with Inflation and School Aged Population</t>
  </si>
  <si>
    <t>otherprogram</t>
  </si>
  <si>
    <t>Other Program Expenditures</t>
  </si>
  <si>
    <t>otherprogram[1]/GDP[1]*GDP[y]</t>
  </si>
  <si>
    <t>CAD</t>
  </si>
  <si>
    <t>Year 31</t>
  </si>
  <si>
    <t>newissuerate</t>
  </si>
  <si>
    <t>Interest Rate on Newly Issued Bonds</t>
  </si>
  <si>
    <t>Based on Prior Year GDP Growth, Inflation and Random Factor</t>
  </si>
  <si>
    <t>Fixed Amount Based on Province's Debt Distribution</t>
  </si>
  <si>
    <t>avgcpnrate</t>
  </si>
  <si>
    <t>debt[y-1] * avgcpnrate[y]</t>
  </si>
  <si>
    <t>Average Coupon Rate Paid By Province</t>
  </si>
  <si>
    <t>Weighted Average of New Issue Rate and Prior Year Avg. Coupon</t>
  </si>
  <si>
    <t>newdebtweight</t>
  </si>
  <si>
    <t>Weighting of Newly Issued Debt for Average Coupon</t>
  </si>
  <si>
    <t>(newissuerate[y] * newdebtweight[y]) + (avgcpnrate[y-1] * (1 - newdebtweight[y]))</t>
  </si>
  <si>
    <t>Type/Format</t>
  </si>
  <si>
    <t>double(10,6)</t>
  </si>
  <si>
    <t>double(8,6)</t>
  </si>
  <si>
    <t>double(20,0)</t>
  </si>
  <si>
    <t>double(12,0)</t>
  </si>
  <si>
    <t>Description</t>
  </si>
  <si>
    <t>Expression</t>
  </si>
  <si>
    <t>Metric 1</t>
  </si>
  <si>
    <t>netinterest[y]/totrev[y]</t>
  </si>
  <si>
    <t>Metric 2</t>
  </si>
  <si>
    <t>debt[y]/GDP[y]</t>
  </si>
  <si>
    <t>Metric 3</t>
  </si>
  <si>
    <t>Debt/Total Revenue</t>
  </si>
  <si>
    <t>debt[y]/totrev[y]</t>
  </si>
  <si>
    <t>Metric 4</t>
  </si>
  <si>
    <t>Absolute Increase in Debt</t>
  </si>
  <si>
    <t>debt[y]-debt[y-1]</t>
  </si>
  <si>
    <t>Metric 5</t>
  </si>
  <si>
    <t>Close the PSCF Control panel window.</t>
  </si>
  <si>
    <t>Close</t>
  </si>
  <si>
    <t>Show C Code</t>
  </si>
  <si>
    <t>Run Analysis</t>
  </si>
  <si>
    <t>PSCF Control Panel (model tab)</t>
  </si>
  <si>
    <t>In this context "YY" refers to the number entered for Projection Years in the model tab.  Enter valid C++ expressions that will be used to compute values for each series in each year during each simulation trial.  Expressions may contain any combination of fixed numeric values, arithmetic operators (+ , - , * , / and ^), references to other current year series values and references to prior year values of this or other series.  Current year series references can only be made to series on a higher row of the series sheet and take the form seriesname[y]. To refer to a prior year series value, enter seriesname[y-1]; two year earlier values can be referenced as seriesname[y-2], and so on.  Forward references of the form seriesname[y+INTEGER) are not supported.  References that would evaluate to a year below 0 will cause an error.  For example, in Year 1 you cannot specify seriesname[y-2] since that would evaluate to Year -1 which does not exist.</t>
  </si>
  <si>
    <t>Year 1 -YY</t>
  </si>
  <si>
    <t>Enter values for the initial or base year of the analysis.  This is typically the most recent year for which actuals or nearly-final estimates are available. Values entered in this column would typically be fixed currency amounts reflecting these budgetary values, although expressions may be used as long as they do not refer to prior years.</t>
  </si>
  <si>
    <t>If "Y", the series will appear as a column in the projection output.  If "N", the series will not appear, but will still be computed.</t>
  </si>
  <si>
    <t>A descriptive field allowing you to describe the method for populating this series. Has no impact on processing or display.</t>
  </si>
  <si>
    <t>Applies only to normal and Cauchy random numbers.  For normally distributed random numbers, allows you to specify a standard deviation.  For Cauchy distributed random numbers, allows you to specify a Sigma.</t>
  </si>
  <si>
    <t>Applies only to normal and Cauchy random numbers.  Enables you to specify a mean around which generated values are distributed.</t>
  </si>
  <si>
    <t>Specifies an absolute ceiling for any value in this series.  Must be a numeric value. Optional.</t>
  </si>
  <si>
    <t>Specifies an absolute floor for any value in this series.  Must be a numeric value. Optional.</t>
  </si>
  <si>
    <t>A string of the format TYPE(SIZE,PRECISION) that controls how the array associated with the series is initialized in C++ and displayed in the projection output.  We recommend using TYPE double for all series, although integer types are also supported.  SIZE refers to the maximum length of series values dispayed in the projection output. PRECISION refers to the number of decimal places to be displayed.</t>
  </si>
  <si>
    <t xml:space="preserve">A descriptive field allowing you to classify series as Random Numbers, Macroecoomic, Revenue, Expenditure or Debt related.  Has no impact on processing or display. </t>
  </si>
  <si>
    <t>A text description of the series which will appear as the column header for series data in the projection output.</t>
  </si>
  <si>
    <t>Variable name describing the series.  This name must follow C++ variable naming conventions, which include a limit on the length of the name and no use of spaces within the name.  Please note that C++ is case sensitive, so you must make sure to use the same case when referring to the name in expressions as you do when initializing it here.</t>
  </si>
  <si>
    <t>Enter one row for each series you wish to generate.  There are three fixed series that should not be removed from the sample: unirandom, normrandom and cauchyrandom refer to arrays of random numbers distributed uniformly, normally or according to the Cauchy form respectively.</t>
  </si>
  <si>
    <t>series tab</t>
  </si>
  <si>
    <t>Level beyond which a default or crisis is assumed to occur. Only applicable to the first metric.</t>
  </si>
  <si>
    <t>A syntactically valid expression in terms of series (defined in the series tab) that computes the desired metric.</t>
  </si>
  <si>
    <t>A text description of the metric.  This will appear as the column header in the projection output.</t>
  </si>
  <si>
    <t>Enter up to 5 metrics that will be calculated during each simulation year for each trial.  Columns in the metric section are described below.</t>
  </si>
  <si>
    <t>model tab (metric section)</t>
  </si>
  <si>
    <t>Some analysts may wish to use a term other than "Default" to describe situations in which the threshold is exceeded.  Enter a term other than "Default" here if that is your preference.  This will be reflected in the projection output.</t>
  </si>
  <si>
    <t>Number of years beyond the initial year that will be analyzed.  For example, if the Initial Year is 2011 and a value of 30 is entered for "Projection Years", the period analyzed will be 2012-2041.  Values for 2011 will also be displayed in the Projection output.</t>
  </si>
  <si>
    <t>Fiscal year associated with the base year of the analysis, referred to as "Year 0" in the models tab. In the projection output, years are numbered sequentially beginning with this initial year.  This field must be a four digit numeric.  If a government entity uses the form FY 2012-2013, that should be entered as 2013 in this field.</t>
  </si>
  <si>
    <t>Currency in which values are denominated.  Value appears in the projection output header.  All models are assumed to use a single currency.</t>
  </si>
  <si>
    <t>Short description of the model.  Value appears in the projection output header.</t>
  </si>
  <si>
    <t>Name of the public sector entity being analyzed.  Value appears in the projection output header.</t>
  </si>
  <si>
    <t>Descriptive information and basic model parameters.</t>
  </si>
  <si>
    <t>model tab (top section)</t>
  </si>
  <si>
    <t>Although this interface uses Excel, PSCF also runs in a command line mode which reads tab delimited copies of the model and series tabs, and outputs results to a tab delimited projections tab.  Command line operation is recommended only for highly technical users and those working in the Linux operating system.</t>
  </si>
  <si>
    <t>You can maintain multiple PSCF workbooks by saving the sample spreadsheet to another name, or copying the workbook using Windows Explorer.  All workbooks should be kept in the \\My Documents\PSCF folder.</t>
  </si>
  <si>
    <t>Each entry in the model and series tab is documented below.  Please review these entries carefully and review the sample before entering and running models.</t>
  </si>
  <si>
    <t>PSCF workbooks enable you to enter all details necessary to create and execute a public sector credit simulation model. To do this, you must correctly populate both the model and series sheets and then click the PSCF Contol Panel, and, finally, click the Run Analysis button in this panel.</t>
  </si>
  <si>
    <t>PSCF Documentation</t>
  </si>
  <si>
    <t>Threshold Label</t>
  </si>
  <si>
    <t>Threshold Level</t>
  </si>
  <si>
    <t>Relation to Threshold Signifying Default</t>
  </si>
  <si>
    <t>Relational operator that should be used in conjunction with the threshold to determine whether a default or crisis is assumed to have occurred. Acceptable values are &lt; , &lt;= , &gt; and &gt;=. Only applicable to the first metric.</t>
  </si>
  <si>
    <t>Default</t>
  </si>
  <si>
    <t>Show Projection Details</t>
  </si>
  <si>
    <t xml:space="preserve">Number of simulation trials to run.  Please note that there is no limit, however projection output includes one row for each year and each trial plus white space.  </t>
  </si>
  <si>
    <t>Controls whether trial by trial results will be generated and displayed in a tab named "projections".   Given the row limit of an Excel spreadsheet, this value should be set to "N" if the number of years multiplied by the number of trials exceeeds one million.</t>
  </si>
  <si>
    <t>This button executes a Visual Basic script which performs the following tasks:  (1) checks the syntax of expressions entered in the model and series sheets, (2) converts the model and series sheets to tab delimited text files, (3) translates these text files into a C++ program, (4) compiles the program using the GNU C++ compiler, (5) executes the C++ program thereby running the simuilation and outputting the projection results and (6) loading the projection results into Excel.  If syntax checking reveals errors or compilation fails, the script aborts prior to running other steps.  Error messages may be found in the PSCF control panel and in the form of cell comments associated with cells containing invalid expressions. Depending upon whether you choose to display trial by trial details, a successful analysis run will create either one or two tabs to the Excel workbook.</t>
  </si>
  <si>
    <t>Clear Results</t>
  </si>
  <si>
    <t>Removes previously created projection and results  tabs from the Excel workbook.</t>
  </si>
  <si>
    <t>&gt;</t>
  </si>
  <si>
    <t>normrandom_lfp</t>
  </si>
  <si>
    <t>Random Draws for Labor Force Participation</t>
  </si>
  <si>
    <t>Normally Distributed Random Numbers for Labor Force Participation</t>
  </si>
  <si>
    <t>normrandom_prod</t>
  </si>
  <si>
    <t>Random Draws for Productivity</t>
  </si>
  <si>
    <t>Normally Distributed Random Numbers for Productivity</t>
  </si>
  <si>
    <t>normrandom_infl</t>
  </si>
  <si>
    <t>Random Draws for Inflation</t>
  </si>
  <si>
    <t>Normally Distributed Random Numbers for Inflation</t>
  </si>
  <si>
    <t>normrandom_oil</t>
  </si>
  <si>
    <t>Random Draws for Oil Prices</t>
  </si>
  <si>
    <t>Normally Distributed Random Numbers for Oil Prices</t>
  </si>
  <si>
    <t>Random Draws for Metal Prices</t>
  </si>
  <si>
    <t>Normally Distributed Random Numbers for Metal Prices</t>
  </si>
  <si>
    <t>normrandom_int</t>
  </si>
  <si>
    <t>Random Draws for Interest Rates</t>
  </si>
  <si>
    <t>yr</t>
  </si>
  <si>
    <t>Year Number</t>
  </si>
  <si>
    <t>double(2,0)</t>
  </si>
  <si>
    <t>Sequential Value</t>
  </si>
  <si>
    <t>preschoolpop</t>
  </si>
  <si>
    <t>Population Aged 0-4</t>
  </si>
  <si>
    <t>workingagepop</t>
  </si>
  <si>
    <t>Population Aged 15+</t>
  </si>
  <si>
    <t>age15to64pop</t>
  </si>
  <si>
    <t>Population Aged 15-64</t>
  </si>
  <si>
    <t>age15to64participation</t>
  </si>
  <si>
    <t>Aged 15-64 Labor Force Participation Rate</t>
  </si>
  <si>
    <t>Autoregressive Function Based on Previous Actuals</t>
  </si>
  <si>
    <t>seniorparticipation</t>
  </si>
  <si>
    <t>Senior Labor Force Participation Rate</t>
  </si>
  <si>
    <t>Autoregressive Function with Trend Based on Previous Actuals</t>
  </si>
  <si>
    <t>laborforcepart</t>
  </si>
  <si>
    <t>Overall Labor Force Participation Rate</t>
  </si>
  <si>
    <t>Weighted Average of Senor ot Age15to64 Participation Rates</t>
  </si>
  <si>
    <t>(seniorparticipation[y]*seniorpop[y]+age15to64participation[y]*age15to64pop[y])/workingagepop[y]</t>
  </si>
  <si>
    <t>laborforce</t>
  </si>
  <si>
    <t>Size of Labor Force</t>
  </si>
  <si>
    <t>Labor Force Participation Rate * (Working Age and Senior Pop)</t>
  </si>
  <si>
    <t>workingagepop[y] * laborforcepart[y]</t>
  </si>
  <si>
    <t>productivitygrowth</t>
  </si>
  <si>
    <t>Productivity Growth</t>
  </si>
  <si>
    <t>0.010695 + 0.421745 * productivitygrowth[y-1] + 0.017974 * normrandom_prod[y]</t>
  </si>
  <si>
    <t>Based on LFP and Productivity Growth</t>
  </si>
  <si>
    <t>Autoregressive equation</t>
  </si>
  <si>
    <t>0.013851 + 0.649200 * inflation[y-1] + 0.035383 * normrandom_infl[y]</t>
  </si>
  <si>
    <t>realoilprice</t>
  </si>
  <si>
    <t>Real Oil Price</t>
  </si>
  <si>
    <t>double(7,2)</t>
  </si>
  <si>
    <t>4.076239 + 0.918478 * realoilprice[y-1] + 21.578379 * normrandom_oil[y]</t>
  </si>
  <si>
    <t>nominaloilprice</t>
  </si>
  <si>
    <t>Nominal Oil Price</t>
  </si>
  <si>
    <t>Real Oil Price Adjusted for Inflation</t>
  </si>
  <si>
    <t>realoilprice[y] * priceIndex[y]/priceIndex[1]</t>
  </si>
  <si>
    <t>Real Metal Index Adjusted for Inflation</t>
  </si>
  <si>
    <t>Rises with nominal oil prices and real GDP</t>
  </si>
  <si>
    <t>sevtax[y-1]*nominaloilprice[y]/nominaloilprice[y-1]*realGDP[y]/realGDP[y-1]</t>
  </si>
  <si>
    <t>health[y-1]*(seniorpop[y]/seniorpop[y-1])*(1.01+healthinflation[y])</t>
  </si>
  <si>
    <t>education[y-1]* ((schoolpop[y]/schoolpop[y-1]  &lt;  1) ? 1 : schoolpop[y]/schoolpop[y-1]) *(1.01+inflation[y])</t>
  </si>
  <si>
    <t>Net Interest Expense</t>
  </si>
  <si>
    <t>otherdebtcharges</t>
  </si>
  <si>
    <t>Other Debt Charges</t>
  </si>
  <si>
    <t>otherdebtcharges[0]/GDP[0]*GDP[y]</t>
  </si>
  <si>
    <t>health[y]+education[y]+otherprogram[y]+netinterest[y]+otherdebtcharges[y]</t>
  </si>
  <si>
    <t>Adjustment Name</t>
  </si>
  <si>
    <t>Expression to Evaluate</t>
  </si>
  <si>
    <t xml:space="preserve">Relation to Threshold </t>
  </si>
  <si>
    <t>Threshold Value</t>
  </si>
  <si>
    <t>Series to Adjust if Threshold is Surpassed</t>
  </si>
  <si>
    <t>Distribute Adjustment to Related Series</t>
  </si>
  <si>
    <t>Revenue Adjustment for Large Surplus</t>
  </si>
  <si>
    <t>totrev[y]/totexp[y]</t>
  </si>
  <si>
    <t>totrev[y]</t>
  </si>
  <si>
    <t>indinctax[y]</t>
  </si>
  <si>
    <t>corpinctax[y]</t>
  </si>
  <si>
    <t>salestax[y]</t>
  </si>
  <si>
    <t>Expense Adjustment for Large Deficit</t>
  </si>
  <si>
    <t>&lt;</t>
  </si>
  <si>
    <t>totexp[y]</t>
  </si>
  <si>
    <t>health[y]</t>
  </si>
  <si>
    <t>education[y]</t>
  </si>
  <si>
    <t>otherprogram[y]</t>
  </si>
  <si>
    <t>Minimum Cumulative Default Probability Associated with Rating</t>
  </si>
  <si>
    <t>Rating</t>
  </si>
  <si>
    <t>AAA</t>
  </si>
  <si>
    <t>AA+</t>
  </si>
  <si>
    <t>AA</t>
  </si>
  <si>
    <t>AA-</t>
  </si>
  <si>
    <t>A+</t>
  </si>
  <si>
    <t>A</t>
  </si>
  <si>
    <t>A-</t>
  </si>
  <si>
    <t>BBB+</t>
  </si>
  <si>
    <t>BBB</t>
  </si>
  <si>
    <t>BBB-</t>
  </si>
  <si>
    <t>BB+</t>
  </si>
  <si>
    <t>BB</t>
  </si>
  <si>
    <t>BB-</t>
  </si>
  <si>
    <t>B+</t>
  </si>
  <si>
    <t>B</t>
  </si>
  <si>
    <t>B-</t>
  </si>
  <si>
    <t>CCC+</t>
  </si>
  <si>
    <t>CCC</t>
  </si>
  <si>
    <t>CCC-</t>
  </si>
  <si>
    <t>CC</t>
  </si>
  <si>
    <t>C</t>
  </si>
  <si>
    <t>D</t>
  </si>
  <si>
    <t>totrev[y] - totexp[y]</t>
  </si>
  <si>
    <t>Total Rev / Total Exp</t>
  </si>
  <si>
    <t>Default Probability Code</t>
  </si>
  <si>
    <t>model tab (default probability code)</t>
  </si>
  <si>
    <t xml:space="preserve">Advanced feature. Most users should leave this field blank. This field supports the  computation of fractional annual default probabilites based on one or more metrics. This field allows the entry of a default probability code block. The code must be written in ANSI C and must supply a value to the array element defaultprob[y]. </t>
  </si>
  <si>
    <t>adjustments tab (optional)</t>
  </si>
  <si>
    <t>This optional tab allows you to adjust fiscal series after they have been calculated. Primary use is to limit annual surpluses or deficits.</t>
  </si>
  <si>
    <t>A text description of the adjustment.</t>
  </si>
  <si>
    <t>A syntactically valid expression in terms of series (defined in the series tab) that computes an expression to test once all series have been calculated for a given year in a given trial.</t>
  </si>
  <si>
    <t>Level beyond which the adjustment will be made.</t>
  </si>
  <si>
    <t xml:space="preserve">Relational operator that should be used in conjunction with the threshold to determine whether an adjustment will be made. Acceptable values are &lt; , &lt;= , &gt; and &gt;=. </t>
  </si>
  <si>
    <r>
      <t xml:space="preserve">An additional list of series to change in order to be consistent with the adjusted series value. All series in the list will be adjusted </t>
    </r>
    <r>
      <rPr>
        <i/>
        <sz val="11"/>
        <color theme="1"/>
        <rFont val="Calibri"/>
        <family val="2"/>
        <scheme val="minor"/>
      </rPr>
      <t xml:space="preserve">pro rata </t>
    </r>
    <r>
      <rPr>
        <sz val="11"/>
        <color theme="1"/>
        <rFont val="Calibri"/>
        <family val="2"/>
        <scheme val="minor"/>
      </rPr>
      <t>without constraint.</t>
    </r>
  </si>
  <si>
    <t>ratingmap tab (optional)</t>
  </si>
  <si>
    <t>Ontario</t>
  </si>
  <si>
    <t>Provincial Solvency Project - ON</t>
  </si>
  <si>
    <t>N</t>
  </si>
  <si>
    <t>normrandom_unem</t>
  </si>
  <si>
    <t>Random Draws for Unemployment</t>
  </si>
  <si>
    <t>Normally Distributed Random Numbers for Unemployment</t>
  </si>
  <si>
    <t>normrandom_gold</t>
  </si>
  <si>
    <t>0.129709 + 0.833462 * age15to64participation[y-1] + 0.012870 * normrandom_lfp[y]</t>
  </si>
  <si>
    <t>-0.014950 + 0.000331 * yr[y] + 0.988884 * seniorparticipation[y-1] + 0.016575 * normrandom_lfp[y]</t>
  </si>
  <si>
    <t>unemployment</t>
  </si>
  <si>
    <t>Unemployment Rate</t>
  </si>
  <si>
    <t>0.028227 + 0.665252 * unemployment[y-1] + 0.018809 * normrandom_unem[y]</t>
  </si>
  <si>
    <t>employed</t>
  </si>
  <si>
    <t>Number of Persons Employed</t>
  </si>
  <si>
    <t>Labor Force times (1 - Unemployment Rate)</t>
  </si>
  <si>
    <t>laborforce[y] * (1 - unemployment[y])</t>
  </si>
  <si>
    <t>( employed[y] / employed[y-1]  - 1 ) + productivitygrowth[y]</t>
  </si>
  <si>
    <t xml:space="preserve">inflation[y] + .005 </t>
  </si>
  <si>
    <t>realgoldprice</t>
  </si>
  <si>
    <t>Real Gold Price</t>
  </si>
  <si>
    <t>-566.774672 + 9.693838 * yr[y] + 1.122593 * realgoldprice[y-1] + 283.680223 * normrandom_gold[y]</t>
  </si>
  <si>
    <t>nominalgoldprice</t>
  </si>
  <si>
    <t>Nominal Gold Price</t>
  </si>
  <si>
    <t>realgoldprice[y] * priceIndex[y]/priceIndex[1]</t>
  </si>
  <si>
    <t xml:space="preserve"> .005 + 0.59 * newissuerate[y-1]  + 0.31 * inflation[y] + 0.003248275 * normrandom_int[y]</t>
  </si>
  <si>
    <t>Lookup table between annual default probabilites and ratings. If this table is provided, annual rating equivalents will be displayed in results.</t>
  </si>
  <si>
    <t>Click this command button to run a projection or perform projection-related housekeeping tasks.  Normally, you would only use this panel after populating both the model and series sheets.</t>
  </si>
  <si>
    <t>Displays the generated code in a Notepad window.  This is for informational purposes only.  Manual changes to the program will not affect the projection output and will be overwritten the next time "Run Analysis" is executed.</t>
  </si>
  <si>
    <t>Specify which series to adjust so that the Expression to Evaluate matches the threshold.</t>
  </si>
  <si>
    <t>N/A</t>
  </si>
  <si>
    <t>Maximum Interest Expense/Total Revenue</t>
  </si>
  <si>
    <t>Minimum Interest Expense/Total Revenue</t>
  </si>
  <si>
    <t>Rating Equivalent</t>
  </si>
  <si>
    <t>Cumulative Default Probablilty</t>
  </si>
  <si>
    <t>Cumulative Default Count</t>
  </si>
  <si>
    <t>Default Probability</t>
  </si>
  <si>
    <t>Default Count</t>
  </si>
  <si>
    <t>Year</t>
  </si>
  <si>
    <t>Sun Apr 08 14:45:22 2012</t>
  </si>
  <si>
    <t>Run Date/Time</t>
  </si>
  <si>
    <t>Trials</t>
  </si>
  <si>
    <t>Currency Units in</t>
  </si>
  <si>
    <t>PSCF Fiscal Projection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</si>
</sst>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_(* \(#,##0.00\);_(* &quot;-&quot;??_);_(@_)"/>
    <numFmt numFmtId="164" formatCode="0.0000"/>
    <numFmt numFmtId="165" formatCode="0.000"/>
    <numFmt numFmtId="166" formatCode="0.00000"/>
  </numFmts>
  <fonts count="6"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1"/>
      <name val="Calibri"/>
      <family val="2"/>
      <scheme val="minor"/>
    </font>
    <font>
      <i/>
      <sz val="11"/>
      <color theme="1"/>
      <name val="Calibri"/>
      <family val="2"/>
      <scheme val="minor"/>
    </font>
  </fonts>
  <fills count="3">
    <fill>
      <patternFill patternType="none"/>
    </fill>
    <fill>
      <patternFill patternType="gray125"/>
    </fill>
    <fill>
      <gradientFill degree="45">
        <stop position="0">
          <color theme="0"/>
        </stop>
        <stop position="1">
          <color theme="4"/>
        </stop>
      </gradient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78">
    <xf numFmtId="0" fontId="0" fillId="0" borderId="0" xfId="0"/>
    <xf numFmtId="0" fontId="0" fillId="0" borderId="0" xfId="0" applyAlignment="1">
      <alignment horizontal="center"/>
    </xf>
    <xf numFmtId="0" fontId="2" fillId="0" borderId="0" xfId="0" applyFont="1"/>
    <xf numFmtId="0" fontId="2" fillId="0" borderId="0" xfId="0" applyFont="1" applyAlignment="1">
      <alignment horizontal="center"/>
    </xf>
    <xf numFmtId="0" fontId="3" fillId="0" borderId="1" xfId="0" applyFont="1" applyBorder="1" applyAlignment="1">
      <alignment horizontal="center"/>
    </xf>
    <xf numFmtId="0" fontId="0" fillId="0" borderId="0" xfId="0" applyFill="1"/>
    <xf numFmtId="9" fontId="3" fillId="0" borderId="1" xfId="2" applyFont="1" applyBorder="1" applyAlignment="1">
      <alignment horizontal="center"/>
    </xf>
    <xf numFmtId="0" fontId="2" fillId="0" borderId="1" xfId="0" applyFont="1" applyBorder="1" applyAlignment="1">
      <alignment horizontal="center"/>
    </xf>
    <xf numFmtId="0" fontId="2" fillId="0" borderId="1" xfId="0" applyFont="1" applyBorder="1"/>
    <xf numFmtId="0" fontId="0" fillId="0" borderId="0" xfId="0" quotePrefix="1"/>
    <xf numFmtId="0" fontId="0" fillId="0" borderId="1" xfId="0" applyBorder="1" applyAlignment="1">
      <alignment horizontal="center"/>
    </xf>
    <xf numFmtId="0" fontId="4" fillId="0" borderId="0" xfId="0" applyFont="1" applyAlignment="1">
      <alignment horizontal="left" vertical="top"/>
    </xf>
    <xf numFmtId="0" fontId="0" fillId="0" borderId="1" xfId="0" applyBorder="1" applyAlignment="1">
      <alignment wrapText="1"/>
    </xf>
    <xf numFmtId="0" fontId="4" fillId="0" borderId="1" xfId="0" applyFont="1" applyBorder="1" applyAlignment="1">
      <alignment horizontal="left" vertical="top" wrapText="1"/>
    </xf>
    <xf numFmtId="0" fontId="0" fillId="0" borderId="1" xfId="0" applyBorder="1"/>
    <xf numFmtId="0" fontId="0" fillId="0" borderId="4" xfId="0" applyBorder="1" applyAlignment="1">
      <alignment wrapText="1"/>
    </xf>
    <xf numFmtId="0" fontId="0" fillId="0" borderId="5" xfId="0" applyBorder="1" applyAlignment="1">
      <alignment wrapText="1"/>
    </xf>
    <xf numFmtId="0" fontId="4" fillId="0" borderId="5" xfId="0" applyFont="1" applyBorder="1" applyAlignment="1">
      <alignment horizontal="left" vertical="top" wrapText="1"/>
    </xf>
    <xf numFmtId="0" fontId="0" fillId="0" borderId="5" xfId="0" applyBorder="1"/>
    <xf numFmtId="0" fontId="0" fillId="0" borderId="6" xfId="0" applyBorder="1" applyAlignment="1">
      <alignment wrapText="1"/>
    </xf>
    <xf numFmtId="0" fontId="4" fillId="0" borderId="6" xfId="0" applyFont="1" applyBorder="1" applyAlignment="1">
      <alignment horizontal="left" vertical="top" wrapText="1"/>
    </xf>
    <xf numFmtId="0" fontId="0" fillId="0" borderId="6" xfId="0" applyBorder="1"/>
    <xf numFmtId="0" fontId="0" fillId="0" borderId="1" xfId="0" applyBorder="1" applyAlignment="1">
      <alignment vertical="top" wrapText="1"/>
    </xf>
    <xf numFmtId="0" fontId="0" fillId="0" borderId="6" xfId="0" applyBorder="1" applyAlignment="1">
      <alignment horizontal="left" vertical="top" wrapText="1"/>
    </xf>
    <xf numFmtId="0" fontId="0" fillId="0" borderId="1" xfId="0" applyBorder="1" applyAlignment="1">
      <alignment horizontal="left" vertical="top" wrapText="1"/>
    </xf>
    <xf numFmtId="0" fontId="4" fillId="0" borderId="0" xfId="0" applyFont="1" applyAlignment="1">
      <alignment horizontal="left" vertical="top" wrapText="1"/>
    </xf>
    <xf numFmtId="0" fontId="3" fillId="0" borderId="0" xfId="0" applyFont="1"/>
    <xf numFmtId="0" fontId="0" fillId="0" borderId="0" xfId="0" quotePrefix="1" applyAlignment="1">
      <alignment vertical="top"/>
    </xf>
    <xf numFmtId="9" fontId="3" fillId="0" borderId="1" xfId="2" applyFont="1" applyBorder="1" applyAlignment="1">
      <alignment horizontal="center" vertical="top"/>
    </xf>
    <xf numFmtId="0" fontId="0" fillId="0" borderId="1" xfId="0" applyBorder="1" applyAlignment="1">
      <alignment horizontal="center" vertical="top"/>
    </xf>
    <xf numFmtId="0" fontId="0" fillId="0" borderId="1" xfId="0" quotePrefix="1" applyBorder="1" applyAlignment="1">
      <alignment horizontal="center" vertical="top"/>
    </xf>
    <xf numFmtId="0" fontId="0" fillId="0" borderId="0" xfId="0" applyAlignment="1">
      <alignment horizontal="left" wrapText="1"/>
    </xf>
    <xf numFmtId="0" fontId="0" fillId="0" borderId="7" xfId="0" applyBorder="1"/>
    <xf numFmtId="0" fontId="4" fillId="0" borderId="0" xfId="0" applyFont="1" applyFill="1" applyAlignment="1">
      <alignment horizontal="left"/>
    </xf>
    <xf numFmtId="0" fontId="4" fillId="0" borderId="0" xfId="0" applyFont="1" applyFill="1" applyAlignment="1">
      <alignment horizontal="center"/>
    </xf>
    <xf numFmtId="0" fontId="0" fillId="0" borderId="0" xfId="0" quotePrefix="1" applyFill="1" applyAlignment="1">
      <alignment horizontal="center"/>
    </xf>
    <xf numFmtId="166" fontId="0" fillId="0" borderId="0" xfId="0" applyNumberFormat="1"/>
    <xf numFmtId="0" fontId="0" fillId="0" borderId="0" xfId="0"/>
    <xf numFmtId="0" fontId="0" fillId="0" borderId="1" xfId="0" applyFill="1" applyBorder="1" applyAlignment="1">
      <alignment vertical="top" wrapText="1"/>
    </xf>
    <xf numFmtId="0" fontId="2" fillId="0" borderId="1" xfId="0" applyFont="1" applyFill="1" applyBorder="1" applyAlignment="1">
      <alignment horizontal="center"/>
    </xf>
    <xf numFmtId="0" fontId="0" fillId="0" borderId="7" xfId="0" applyBorder="1" applyAlignment="1">
      <alignment horizontal="left" vertical="top" wrapText="1"/>
    </xf>
    <xf numFmtId="0" fontId="0" fillId="0" borderId="7" xfId="0" applyBorder="1" applyAlignment="1">
      <alignment wrapText="1"/>
    </xf>
    <xf numFmtId="0" fontId="3" fillId="0" borderId="7" xfId="0" applyFont="1" applyBorder="1" applyAlignment="1">
      <alignment vertical="top"/>
    </xf>
    <xf numFmtId="0" fontId="3" fillId="0" borderId="8" xfId="0" applyFont="1" applyBorder="1" applyAlignment="1">
      <alignment vertical="top"/>
    </xf>
    <xf numFmtId="0" fontId="0" fillId="0" borderId="9" xfId="0" applyBorder="1" applyAlignment="1">
      <alignment horizontal="left" vertical="top" wrapText="1"/>
    </xf>
    <xf numFmtId="0" fontId="4" fillId="0" borderId="7" xfId="0" applyFont="1" applyBorder="1" applyAlignment="1">
      <alignment horizontal="left" vertical="top" wrapText="1"/>
    </xf>
    <xf numFmtId="0" fontId="0" fillId="0" borderId="0" xfId="0" applyAlignment="1">
      <alignment horizontal="center"/>
    </xf>
    <xf numFmtId="0" fontId="3" fillId="0" borderId="1" xfId="0" applyFont="1" applyBorder="1" applyAlignment="1">
      <alignment horizontal="left" vertical="top"/>
    </xf>
    <xf numFmtId="0" fontId="3" fillId="0" borderId="4" xfId="0" applyFont="1" applyBorder="1" applyAlignment="1">
      <alignment horizontal="left" vertical="top"/>
    </xf>
    <xf numFmtId="0" fontId="0" fillId="0" borderId="0" xfId="0" applyAlignment="1">
      <alignment horizontal="left" wrapText="1"/>
    </xf>
    <xf numFmtId="0" fontId="0" fillId="0" borderId="0" xfId="0" applyAlignment="1">
      <alignment horizontal="left" vertical="top" wrapText="1"/>
    </xf>
    <xf numFmtId="0" fontId="3" fillId="0" borderId="1" xfId="0" applyFont="1" applyBorder="1" applyAlignment="1">
      <alignment horizontal="left"/>
    </xf>
    <xf numFmtId="0" fontId="0" fillId="2" borderId="2" xfId="0" applyFill="1" applyBorder="1" applyAlignment="1">
      <alignment horizontal="center"/>
    </xf>
    <xf numFmtId="0" fontId="0" fillId="2" borderId="7" xfId="0" applyFill="1" applyBorder="1" applyAlignment="1">
      <alignment horizontal="center"/>
    </xf>
    <xf numFmtId="0" fontId="0" fillId="2" borderId="3" xfId="0" applyFill="1" applyBorder="1" applyAlignment="1">
      <alignment horizontal="center"/>
    </xf>
    <xf numFmtId="0" fontId="0" fillId="2" borderId="0" xfId="0" applyFill="1" applyBorder="1" applyAlignment="1">
      <alignment horizontal="center"/>
    </xf>
    <xf numFmtId="0" fontId="0" fillId="0" borderId="0" xfId="0" applyAlignment="1">
      <alignment horizontal="center"/>
    </xf>
    <xf numFmtId="3" fontId="3" fillId="0" borderId="1" xfId="0" applyNumberFormat="1" applyFont="1" applyBorder="1" applyAlignment="1">
      <alignment horizontal="center"/>
    </xf>
    <xf numFmtId="0" fontId="2" fillId="0" borderId="0" xfId="0" applyFont="1" applyAlignment="1">
      <alignment horizontal="left"/>
    </xf>
    <xf numFmtId="0" fontId="4" fillId="0" borderId="0" xfId="0" applyFont="1"/>
    <xf numFmtId="0" fontId="4" fillId="0" borderId="0" xfId="0" applyFont="1" applyAlignment="1">
      <alignment horizontal="left"/>
    </xf>
    <xf numFmtId="0" fontId="4" fillId="0" borderId="0" xfId="0" applyFont="1" applyAlignment="1">
      <alignment horizontal="center"/>
    </xf>
    <xf numFmtId="0" fontId="4" fillId="0" borderId="0" xfId="0" applyFont="1" applyAlignment="1">
      <alignment horizontal="right"/>
    </xf>
    <xf numFmtId="1" fontId="4" fillId="0" borderId="0" xfId="1" applyNumberFormat="1" applyFont="1" applyAlignment="1"/>
    <xf numFmtId="165" fontId="4" fillId="0" borderId="0" xfId="1" applyNumberFormat="1" applyFont="1" applyAlignment="1"/>
    <xf numFmtId="165" fontId="4" fillId="0" borderId="0" xfId="1" applyNumberFormat="1" applyFont="1" applyAlignment="1">
      <alignment horizontal="center"/>
    </xf>
    <xf numFmtId="1" fontId="4" fillId="0" borderId="0" xfId="1" applyNumberFormat="1" applyFont="1" applyAlignment="1">
      <alignment horizontal="center"/>
    </xf>
    <xf numFmtId="164" fontId="4" fillId="0" borderId="0" xfId="1" applyNumberFormat="1" applyFont="1" applyAlignment="1"/>
    <xf numFmtId="1" fontId="4" fillId="0" borderId="0" xfId="1" quotePrefix="1" applyNumberFormat="1" applyFont="1" applyAlignment="1">
      <alignment horizontal="center"/>
    </xf>
    <xf numFmtId="2" fontId="4" fillId="0" borderId="0" xfId="1" applyNumberFormat="1" applyFont="1" applyAlignment="1">
      <alignment horizontal="center"/>
    </xf>
    <xf numFmtId="2" fontId="4" fillId="0" borderId="0" xfId="1" applyNumberFormat="1" applyFont="1" applyAlignment="1"/>
    <xf numFmtId="0" fontId="0" fillId="0" borderId="0" xfId="0" quotePrefix="1" applyAlignment="1">
      <alignment horizontal="center"/>
    </xf>
    <xf numFmtId="2" fontId="0" fillId="0" borderId="0" xfId="0" applyNumberFormat="1" applyAlignment="1">
      <alignment horizontal="right"/>
    </xf>
    <xf numFmtId="164" fontId="4" fillId="0" borderId="0" xfId="1" applyNumberFormat="1" applyFont="1" applyAlignment="1">
      <alignment horizontal="center"/>
    </xf>
    <xf numFmtId="164" fontId="0" fillId="0" borderId="0" xfId="0" applyNumberFormat="1" applyAlignment="1">
      <alignment horizontal="center"/>
    </xf>
    <xf numFmtId="0" fontId="0" fillId="0" borderId="0" xfId="0" applyAlignment="1">
      <alignment horizontal="left"/>
    </xf>
    <xf numFmtId="1" fontId="0" fillId="0" borderId="0" xfId="0" applyNumberFormat="1" applyFont="1" applyAlignment="1">
      <alignment horizontal="center"/>
    </xf>
    <xf numFmtId="164" fontId="0" fillId="0" borderId="0" xfId="0" applyNumberFormat="1"/>
  </cellXfs>
  <cellStyles count="3">
    <cellStyle name="Comma" xfId="1" builtinId="3"/>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254000</xdr:colOff>
          <xdr:row>20</xdr:row>
          <xdr:rowOff>0</xdr:rowOff>
        </xdr:from>
        <xdr:to>
          <xdr:col>1</xdr:col>
          <xdr:colOff>2403475</xdr:colOff>
          <xdr:row>22</xdr:row>
          <xdr:rowOff>0</xdr:rowOff>
        </xdr:to>
        <xdr:sp macro="" textlink="">
          <xdr:nvSpPr>
            <xdr:cNvPr id="2049" name="CommandButtonPanel"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58"/>
  <sheetViews>
    <sheetView tabSelected="1" workbookViewId="0"/>
  </sheetViews>
  <sheetFormatPr defaultRowHeight="15" x14ac:dyDescent="0.25"/>
  <cols>
    <col min="1" max="1" width="9.140625" style="37"/>
    <col min="2" max="2" width="38.28515625" style="11" bestFit="1" customWidth="1"/>
    <col min="3" max="3" width="119" style="37" customWidth="1"/>
    <col min="4" max="16384" width="9.140625" style="37"/>
  </cols>
  <sheetData>
    <row r="1" spans="1:3" x14ac:dyDescent="0.25">
      <c r="A1" s="26" t="s">
        <v>197</v>
      </c>
      <c r="C1"/>
    </row>
    <row r="3" spans="1:3" ht="31.5" customHeight="1" x14ac:dyDescent="0.25">
      <c r="A3" s="49" t="s">
        <v>196</v>
      </c>
      <c r="B3" s="49"/>
      <c r="C3" s="49"/>
    </row>
    <row r="4" spans="1:3" x14ac:dyDescent="0.25">
      <c r="A4" s="31"/>
      <c r="B4" s="25"/>
      <c r="C4" s="31"/>
    </row>
    <row r="5" spans="1:3" x14ac:dyDescent="0.25">
      <c r="A5" s="49" t="s">
        <v>195</v>
      </c>
      <c r="B5" s="49"/>
      <c r="C5" s="49"/>
    </row>
    <row r="6" spans="1:3" x14ac:dyDescent="0.25">
      <c r="A6" s="31"/>
      <c r="B6" s="25"/>
      <c r="C6" s="31"/>
    </row>
    <row r="7" spans="1:3" ht="32.25" customHeight="1" x14ac:dyDescent="0.25">
      <c r="A7" s="50" t="s">
        <v>194</v>
      </c>
      <c r="B7" s="50"/>
      <c r="C7" s="50"/>
    </row>
    <row r="8" spans="1:3" x14ac:dyDescent="0.25">
      <c r="A8" s="31"/>
      <c r="B8" s="25"/>
      <c r="C8" s="31"/>
    </row>
    <row r="9" spans="1:3" ht="35.25" customHeight="1" x14ac:dyDescent="0.25">
      <c r="A9" s="50" t="s">
        <v>193</v>
      </c>
      <c r="B9" s="50"/>
      <c r="C9" s="50"/>
    </row>
    <row r="11" spans="1:3" x14ac:dyDescent="0.25">
      <c r="A11" s="51" t="s">
        <v>192</v>
      </c>
      <c r="B11" s="51"/>
      <c r="C11" s="14" t="s">
        <v>191</v>
      </c>
    </row>
    <row r="12" spans="1:3" x14ac:dyDescent="0.25">
      <c r="A12" s="14"/>
      <c r="B12" s="13" t="s">
        <v>2</v>
      </c>
      <c r="C12" s="12" t="s">
        <v>190</v>
      </c>
    </row>
    <row r="13" spans="1:3" x14ac:dyDescent="0.25">
      <c r="A13" s="14"/>
      <c r="B13" s="13" t="s">
        <v>3</v>
      </c>
      <c r="C13" s="12" t="s">
        <v>189</v>
      </c>
    </row>
    <row r="14" spans="1:3" ht="30" x14ac:dyDescent="0.25">
      <c r="A14" s="14"/>
      <c r="B14" s="13" t="s">
        <v>14</v>
      </c>
      <c r="C14" s="12" t="s">
        <v>188</v>
      </c>
    </row>
    <row r="15" spans="1:3" ht="45" x14ac:dyDescent="0.25">
      <c r="A15" s="14"/>
      <c r="B15" s="13" t="s">
        <v>4</v>
      </c>
      <c r="C15" s="12" t="s">
        <v>187</v>
      </c>
    </row>
    <row r="16" spans="1:3" ht="30" x14ac:dyDescent="0.25">
      <c r="A16" s="14"/>
      <c r="B16" s="13" t="s">
        <v>57</v>
      </c>
      <c r="C16" s="12" t="s">
        <v>186</v>
      </c>
    </row>
    <row r="17" spans="1:3" ht="30" x14ac:dyDescent="0.25">
      <c r="A17" s="14"/>
      <c r="B17" s="13" t="s">
        <v>5</v>
      </c>
      <c r="C17" s="12" t="s">
        <v>204</v>
      </c>
    </row>
    <row r="18" spans="1:3" ht="30" x14ac:dyDescent="0.25">
      <c r="A18" s="21"/>
      <c r="B18" s="20" t="s">
        <v>198</v>
      </c>
      <c r="C18" s="19" t="s">
        <v>185</v>
      </c>
    </row>
    <row r="19" spans="1:3" ht="30" x14ac:dyDescent="0.25">
      <c r="A19" s="32"/>
      <c r="B19" s="13" t="s">
        <v>203</v>
      </c>
      <c r="C19" s="12" t="s">
        <v>205</v>
      </c>
    </row>
    <row r="20" spans="1:3" x14ac:dyDescent="0.25">
      <c r="A20" s="18"/>
      <c r="B20" s="17"/>
      <c r="C20" s="16"/>
    </row>
    <row r="21" spans="1:3" ht="30" x14ac:dyDescent="0.25">
      <c r="A21" s="48" t="s">
        <v>184</v>
      </c>
      <c r="B21" s="48"/>
      <c r="C21" s="15" t="s">
        <v>183</v>
      </c>
    </row>
    <row r="22" spans="1:3" x14ac:dyDescent="0.25">
      <c r="A22" s="14"/>
      <c r="B22" s="13" t="s">
        <v>147</v>
      </c>
      <c r="C22" s="12" t="s">
        <v>182</v>
      </c>
    </row>
    <row r="23" spans="1:3" x14ac:dyDescent="0.25">
      <c r="A23" s="14"/>
      <c r="B23" s="24" t="s">
        <v>148</v>
      </c>
      <c r="C23" s="12" t="s">
        <v>181</v>
      </c>
    </row>
    <row r="24" spans="1:3" x14ac:dyDescent="0.25">
      <c r="A24" s="14"/>
      <c r="B24" s="24" t="s">
        <v>199</v>
      </c>
      <c r="C24" s="12" t="s">
        <v>180</v>
      </c>
    </row>
    <row r="25" spans="1:3" ht="30" x14ac:dyDescent="0.25">
      <c r="A25" s="21"/>
      <c r="B25" s="23" t="s">
        <v>200</v>
      </c>
      <c r="C25" s="19" t="s">
        <v>201</v>
      </c>
    </row>
    <row r="26" spans="1:3" x14ac:dyDescent="0.25">
      <c r="A26" s="32"/>
      <c r="B26" s="40"/>
      <c r="C26" s="41"/>
    </row>
    <row r="27" spans="1:3" ht="45" x14ac:dyDescent="0.25">
      <c r="A27" s="43" t="s">
        <v>319</v>
      </c>
      <c r="B27" s="44"/>
      <c r="C27" s="12" t="s">
        <v>320</v>
      </c>
    </row>
    <row r="28" spans="1:3" x14ac:dyDescent="0.25">
      <c r="A28" s="32"/>
      <c r="B28" s="40"/>
      <c r="C28" s="41"/>
    </row>
    <row r="29" spans="1:3" ht="45" x14ac:dyDescent="0.25">
      <c r="A29" s="47" t="s">
        <v>179</v>
      </c>
      <c r="B29" s="47"/>
      <c r="C29" s="12" t="s">
        <v>178</v>
      </c>
    </row>
    <row r="30" spans="1:3" ht="45" x14ac:dyDescent="0.25">
      <c r="A30" s="14"/>
      <c r="B30" s="13" t="s">
        <v>8</v>
      </c>
      <c r="C30" s="12" t="s">
        <v>177</v>
      </c>
    </row>
    <row r="31" spans="1:3" x14ac:dyDescent="0.25">
      <c r="A31" s="14"/>
      <c r="B31" s="13" t="s">
        <v>17</v>
      </c>
      <c r="C31" s="12" t="s">
        <v>176</v>
      </c>
    </row>
    <row r="32" spans="1:3" ht="30" x14ac:dyDescent="0.25">
      <c r="A32" s="14"/>
      <c r="B32" s="13" t="s">
        <v>9</v>
      </c>
      <c r="C32" s="12" t="s">
        <v>175</v>
      </c>
    </row>
    <row r="33" spans="1:3" ht="60" x14ac:dyDescent="0.25">
      <c r="A33" s="14"/>
      <c r="B33" s="13" t="s">
        <v>142</v>
      </c>
      <c r="C33" s="12" t="s">
        <v>174</v>
      </c>
    </row>
    <row r="34" spans="1:3" x14ac:dyDescent="0.25">
      <c r="A34" s="14"/>
      <c r="B34" s="13" t="s">
        <v>59</v>
      </c>
      <c r="C34" s="12" t="s">
        <v>173</v>
      </c>
    </row>
    <row r="35" spans="1:3" x14ac:dyDescent="0.25">
      <c r="A35" s="14"/>
      <c r="B35" s="13" t="s">
        <v>60</v>
      </c>
      <c r="C35" s="12" t="s">
        <v>172</v>
      </c>
    </row>
    <row r="36" spans="1:3" ht="15" customHeight="1" x14ac:dyDescent="0.25">
      <c r="A36" s="14"/>
      <c r="B36" s="13" t="s">
        <v>91</v>
      </c>
      <c r="C36" s="22" t="s">
        <v>171</v>
      </c>
    </row>
    <row r="37" spans="1:3" ht="30" x14ac:dyDescent="0.25">
      <c r="A37" s="14"/>
      <c r="B37" s="13" t="s">
        <v>92</v>
      </c>
      <c r="C37" s="12" t="s">
        <v>170</v>
      </c>
    </row>
    <row r="38" spans="1:3" x14ac:dyDescent="0.25">
      <c r="A38" s="14"/>
      <c r="B38" s="13" t="s">
        <v>61</v>
      </c>
      <c r="C38" s="12" t="s">
        <v>169</v>
      </c>
    </row>
    <row r="39" spans="1:3" x14ac:dyDescent="0.25">
      <c r="A39" s="14"/>
      <c r="B39" s="13" t="s">
        <v>93</v>
      </c>
      <c r="C39" s="12" t="s">
        <v>168</v>
      </c>
    </row>
    <row r="40" spans="1:3" ht="45" x14ac:dyDescent="0.25">
      <c r="A40" s="14"/>
      <c r="B40" s="13" t="s">
        <v>26</v>
      </c>
      <c r="C40" s="12" t="s">
        <v>167</v>
      </c>
    </row>
    <row r="41" spans="1:3" ht="120" x14ac:dyDescent="0.25">
      <c r="A41" s="21"/>
      <c r="B41" s="20" t="s">
        <v>166</v>
      </c>
      <c r="C41" s="19" t="s">
        <v>165</v>
      </c>
    </row>
    <row r="42" spans="1:3" x14ac:dyDescent="0.25">
      <c r="A42" s="32"/>
      <c r="B42" s="45"/>
      <c r="C42" s="41"/>
    </row>
    <row r="43" spans="1:3" ht="30" x14ac:dyDescent="0.25">
      <c r="A43" s="47" t="s">
        <v>321</v>
      </c>
      <c r="B43" s="47"/>
      <c r="C43" s="22" t="s">
        <v>322</v>
      </c>
    </row>
    <row r="44" spans="1:3" x14ac:dyDescent="0.25">
      <c r="A44" s="14"/>
      <c r="B44" s="13" t="s">
        <v>274</v>
      </c>
      <c r="C44" s="12" t="s">
        <v>323</v>
      </c>
    </row>
    <row r="45" spans="1:3" ht="30" x14ac:dyDescent="0.25">
      <c r="A45" s="14"/>
      <c r="B45" s="24" t="s">
        <v>275</v>
      </c>
      <c r="C45" s="12" t="s">
        <v>324</v>
      </c>
    </row>
    <row r="46" spans="1:3" ht="30" x14ac:dyDescent="0.25">
      <c r="A46" s="14"/>
      <c r="B46" s="24" t="s">
        <v>276</v>
      </c>
      <c r="C46" s="19" t="s">
        <v>326</v>
      </c>
    </row>
    <row r="47" spans="1:3" x14ac:dyDescent="0.25">
      <c r="A47" s="21"/>
      <c r="B47" s="23" t="s">
        <v>277</v>
      </c>
      <c r="C47" s="12" t="s">
        <v>325</v>
      </c>
    </row>
    <row r="48" spans="1:3" x14ac:dyDescent="0.25">
      <c r="A48" s="21"/>
      <c r="B48" s="23" t="s">
        <v>278</v>
      </c>
      <c r="C48" s="19" t="s">
        <v>357</v>
      </c>
    </row>
    <row r="49" spans="1:3" ht="30" x14ac:dyDescent="0.25">
      <c r="A49" s="21"/>
      <c r="B49" s="23" t="s">
        <v>279</v>
      </c>
      <c r="C49" s="19" t="s">
        <v>327</v>
      </c>
    </row>
    <row r="50" spans="1:3" x14ac:dyDescent="0.25">
      <c r="A50" s="32"/>
      <c r="B50" s="45"/>
      <c r="C50" s="41"/>
    </row>
    <row r="51" spans="1:3" ht="30" x14ac:dyDescent="0.25">
      <c r="A51" s="42" t="s">
        <v>328</v>
      </c>
      <c r="B51" s="45"/>
      <c r="C51" s="41" t="s">
        <v>354</v>
      </c>
    </row>
    <row r="52" spans="1:3" x14ac:dyDescent="0.25">
      <c r="A52" s="18"/>
      <c r="B52" s="17"/>
      <c r="C52" s="16"/>
    </row>
    <row r="53" spans="1:3" ht="30" x14ac:dyDescent="0.25">
      <c r="A53" s="48" t="s">
        <v>164</v>
      </c>
      <c r="B53" s="48"/>
      <c r="C53" s="15" t="s">
        <v>355</v>
      </c>
    </row>
    <row r="54" spans="1:3" ht="105" x14ac:dyDescent="0.25">
      <c r="A54" s="14"/>
      <c r="B54" s="13" t="s">
        <v>163</v>
      </c>
      <c r="C54" s="12" t="s">
        <v>206</v>
      </c>
    </row>
    <row r="55" spans="1:3" x14ac:dyDescent="0.25">
      <c r="A55" s="14"/>
      <c r="B55" s="13" t="s">
        <v>207</v>
      </c>
      <c r="C55" s="12" t="s">
        <v>208</v>
      </c>
    </row>
    <row r="56" spans="1:3" ht="30" x14ac:dyDescent="0.25">
      <c r="A56" s="14"/>
      <c r="B56" s="13" t="s">
        <v>162</v>
      </c>
      <c r="C56" s="12" t="s">
        <v>356</v>
      </c>
    </row>
    <row r="57" spans="1:3" x14ac:dyDescent="0.25">
      <c r="A57" s="14"/>
      <c r="B57" s="13" t="s">
        <v>161</v>
      </c>
      <c r="C57" s="12" t="s">
        <v>160</v>
      </c>
    </row>
    <row r="58" spans="1:3" x14ac:dyDescent="0.25">
      <c r="A58"/>
      <c r="C58"/>
    </row>
  </sheetData>
  <mergeCells count="9">
    <mergeCell ref="A29:B29"/>
    <mergeCell ref="A53:B53"/>
    <mergeCell ref="A3:C3"/>
    <mergeCell ref="A5:C5"/>
    <mergeCell ref="A7:C7"/>
    <mergeCell ref="A9:C9"/>
    <mergeCell ref="A11:B11"/>
    <mergeCell ref="A21:B21"/>
    <mergeCell ref="A43:B43"/>
  </mergeCells>
  <dataValidations count="1">
    <dataValidation type="list" allowBlank="1" showInputMessage="1" showErrorMessage="1" sqref="B32 IX32 ST32 ACP32 AML32 AWH32 BGD32 BPZ32 BZV32 CJR32 CTN32 DDJ32 DNF32 DXB32 EGX32 EQT32 FAP32 FKL32 FUH32 GED32 GNZ32 GXV32 HHR32 HRN32 IBJ32 ILF32 IVB32 JEX32 JOT32 JYP32 KIL32 KSH32 LCD32 LLZ32 LVV32 MFR32 MPN32 MZJ32 NJF32 NTB32 OCX32 OMT32 OWP32 PGL32 PQH32 QAD32 QJZ32 QTV32 RDR32 RNN32 RXJ32 SHF32 SRB32 TAX32 TKT32 TUP32 UEL32 UOH32 UYD32 VHZ32 VRV32 WBR32 WLN32 WVJ32 B65578 IX65578 ST65578 ACP65578 AML65578 AWH65578 BGD65578 BPZ65578 BZV65578 CJR65578 CTN65578 DDJ65578 DNF65578 DXB65578 EGX65578 EQT65578 FAP65578 FKL65578 FUH65578 GED65578 GNZ65578 GXV65578 HHR65578 HRN65578 IBJ65578 ILF65578 IVB65578 JEX65578 JOT65578 JYP65578 KIL65578 KSH65578 LCD65578 LLZ65578 LVV65578 MFR65578 MPN65578 MZJ65578 NJF65578 NTB65578 OCX65578 OMT65578 OWP65578 PGL65578 PQH65578 QAD65578 QJZ65578 QTV65578 RDR65578 RNN65578 RXJ65578 SHF65578 SRB65578 TAX65578 TKT65578 TUP65578 UEL65578 UOH65578 UYD65578 VHZ65578 VRV65578 WBR65578 WLN65578 WVJ65578 B131114 IX131114 ST131114 ACP131114 AML131114 AWH131114 BGD131114 BPZ131114 BZV131114 CJR131114 CTN131114 DDJ131114 DNF131114 DXB131114 EGX131114 EQT131114 FAP131114 FKL131114 FUH131114 GED131114 GNZ131114 GXV131114 HHR131114 HRN131114 IBJ131114 ILF131114 IVB131114 JEX131114 JOT131114 JYP131114 KIL131114 KSH131114 LCD131114 LLZ131114 LVV131114 MFR131114 MPN131114 MZJ131114 NJF131114 NTB131114 OCX131114 OMT131114 OWP131114 PGL131114 PQH131114 QAD131114 QJZ131114 QTV131114 RDR131114 RNN131114 RXJ131114 SHF131114 SRB131114 TAX131114 TKT131114 TUP131114 UEL131114 UOH131114 UYD131114 VHZ131114 VRV131114 WBR131114 WLN131114 WVJ131114 B196650 IX196650 ST196650 ACP196650 AML196650 AWH196650 BGD196650 BPZ196650 BZV196650 CJR196650 CTN196650 DDJ196650 DNF196650 DXB196650 EGX196650 EQT196650 FAP196650 FKL196650 FUH196650 GED196650 GNZ196650 GXV196650 HHR196650 HRN196650 IBJ196650 ILF196650 IVB196650 JEX196650 JOT196650 JYP196650 KIL196650 KSH196650 LCD196650 LLZ196650 LVV196650 MFR196650 MPN196650 MZJ196650 NJF196650 NTB196650 OCX196650 OMT196650 OWP196650 PGL196650 PQH196650 QAD196650 QJZ196650 QTV196650 RDR196650 RNN196650 RXJ196650 SHF196650 SRB196650 TAX196650 TKT196650 TUP196650 UEL196650 UOH196650 UYD196650 VHZ196650 VRV196650 WBR196650 WLN196650 WVJ196650 B262186 IX262186 ST262186 ACP262186 AML262186 AWH262186 BGD262186 BPZ262186 BZV262186 CJR262186 CTN262186 DDJ262186 DNF262186 DXB262186 EGX262186 EQT262186 FAP262186 FKL262186 FUH262186 GED262186 GNZ262186 GXV262186 HHR262186 HRN262186 IBJ262186 ILF262186 IVB262186 JEX262186 JOT262186 JYP262186 KIL262186 KSH262186 LCD262186 LLZ262186 LVV262186 MFR262186 MPN262186 MZJ262186 NJF262186 NTB262186 OCX262186 OMT262186 OWP262186 PGL262186 PQH262186 QAD262186 QJZ262186 QTV262186 RDR262186 RNN262186 RXJ262186 SHF262186 SRB262186 TAX262186 TKT262186 TUP262186 UEL262186 UOH262186 UYD262186 VHZ262186 VRV262186 WBR262186 WLN262186 WVJ262186 B327722 IX327722 ST327722 ACP327722 AML327722 AWH327722 BGD327722 BPZ327722 BZV327722 CJR327722 CTN327722 DDJ327722 DNF327722 DXB327722 EGX327722 EQT327722 FAP327722 FKL327722 FUH327722 GED327722 GNZ327722 GXV327722 HHR327722 HRN327722 IBJ327722 ILF327722 IVB327722 JEX327722 JOT327722 JYP327722 KIL327722 KSH327722 LCD327722 LLZ327722 LVV327722 MFR327722 MPN327722 MZJ327722 NJF327722 NTB327722 OCX327722 OMT327722 OWP327722 PGL327722 PQH327722 QAD327722 QJZ327722 QTV327722 RDR327722 RNN327722 RXJ327722 SHF327722 SRB327722 TAX327722 TKT327722 TUP327722 UEL327722 UOH327722 UYD327722 VHZ327722 VRV327722 WBR327722 WLN327722 WVJ327722 B393258 IX393258 ST393258 ACP393258 AML393258 AWH393258 BGD393258 BPZ393258 BZV393258 CJR393258 CTN393258 DDJ393258 DNF393258 DXB393258 EGX393258 EQT393258 FAP393258 FKL393258 FUH393258 GED393258 GNZ393258 GXV393258 HHR393258 HRN393258 IBJ393258 ILF393258 IVB393258 JEX393258 JOT393258 JYP393258 KIL393258 KSH393258 LCD393258 LLZ393258 LVV393258 MFR393258 MPN393258 MZJ393258 NJF393258 NTB393258 OCX393258 OMT393258 OWP393258 PGL393258 PQH393258 QAD393258 QJZ393258 QTV393258 RDR393258 RNN393258 RXJ393258 SHF393258 SRB393258 TAX393258 TKT393258 TUP393258 UEL393258 UOH393258 UYD393258 VHZ393258 VRV393258 WBR393258 WLN393258 WVJ393258 B458794 IX458794 ST458794 ACP458794 AML458794 AWH458794 BGD458794 BPZ458794 BZV458794 CJR458794 CTN458794 DDJ458794 DNF458794 DXB458794 EGX458794 EQT458794 FAP458794 FKL458794 FUH458794 GED458794 GNZ458794 GXV458794 HHR458794 HRN458794 IBJ458794 ILF458794 IVB458794 JEX458794 JOT458794 JYP458794 KIL458794 KSH458794 LCD458794 LLZ458794 LVV458794 MFR458794 MPN458794 MZJ458794 NJF458794 NTB458794 OCX458794 OMT458794 OWP458794 PGL458794 PQH458794 QAD458794 QJZ458794 QTV458794 RDR458794 RNN458794 RXJ458794 SHF458794 SRB458794 TAX458794 TKT458794 TUP458794 UEL458794 UOH458794 UYD458794 VHZ458794 VRV458794 WBR458794 WLN458794 WVJ458794 B524330 IX524330 ST524330 ACP524330 AML524330 AWH524330 BGD524330 BPZ524330 BZV524330 CJR524330 CTN524330 DDJ524330 DNF524330 DXB524330 EGX524330 EQT524330 FAP524330 FKL524330 FUH524330 GED524330 GNZ524330 GXV524330 HHR524330 HRN524330 IBJ524330 ILF524330 IVB524330 JEX524330 JOT524330 JYP524330 KIL524330 KSH524330 LCD524330 LLZ524330 LVV524330 MFR524330 MPN524330 MZJ524330 NJF524330 NTB524330 OCX524330 OMT524330 OWP524330 PGL524330 PQH524330 QAD524330 QJZ524330 QTV524330 RDR524330 RNN524330 RXJ524330 SHF524330 SRB524330 TAX524330 TKT524330 TUP524330 UEL524330 UOH524330 UYD524330 VHZ524330 VRV524330 WBR524330 WLN524330 WVJ524330 B589866 IX589866 ST589866 ACP589866 AML589866 AWH589866 BGD589866 BPZ589866 BZV589866 CJR589866 CTN589866 DDJ589866 DNF589866 DXB589866 EGX589866 EQT589866 FAP589866 FKL589866 FUH589866 GED589866 GNZ589866 GXV589866 HHR589866 HRN589866 IBJ589866 ILF589866 IVB589866 JEX589866 JOT589866 JYP589866 KIL589866 KSH589866 LCD589866 LLZ589866 LVV589866 MFR589866 MPN589866 MZJ589866 NJF589866 NTB589866 OCX589866 OMT589866 OWP589866 PGL589866 PQH589866 QAD589866 QJZ589866 QTV589866 RDR589866 RNN589866 RXJ589866 SHF589866 SRB589866 TAX589866 TKT589866 TUP589866 UEL589866 UOH589866 UYD589866 VHZ589866 VRV589866 WBR589866 WLN589866 WVJ589866 B655402 IX655402 ST655402 ACP655402 AML655402 AWH655402 BGD655402 BPZ655402 BZV655402 CJR655402 CTN655402 DDJ655402 DNF655402 DXB655402 EGX655402 EQT655402 FAP655402 FKL655402 FUH655402 GED655402 GNZ655402 GXV655402 HHR655402 HRN655402 IBJ655402 ILF655402 IVB655402 JEX655402 JOT655402 JYP655402 KIL655402 KSH655402 LCD655402 LLZ655402 LVV655402 MFR655402 MPN655402 MZJ655402 NJF655402 NTB655402 OCX655402 OMT655402 OWP655402 PGL655402 PQH655402 QAD655402 QJZ655402 QTV655402 RDR655402 RNN655402 RXJ655402 SHF655402 SRB655402 TAX655402 TKT655402 TUP655402 UEL655402 UOH655402 UYD655402 VHZ655402 VRV655402 WBR655402 WLN655402 WVJ655402 B720938 IX720938 ST720938 ACP720938 AML720938 AWH720938 BGD720938 BPZ720938 BZV720938 CJR720938 CTN720938 DDJ720938 DNF720938 DXB720938 EGX720938 EQT720938 FAP720938 FKL720938 FUH720938 GED720938 GNZ720938 GXV720938 HHR720938 HRN720938 IBJ720938 ILF720938 IVB720938 JEX720938 JOT720938 JYP720938 KIL720938 KSH720938 LCD720938 LLZ720938 LVV720938 MFR720938 MPN720938 MZJ720938 NJF720938 NTB720938 OCX720938 OMT720938 OWP720938 PGL720938 PQH720938 QAD720938 QJZ720938 QTV720938 RDR720938 RNN720938 RXJ720938 SHF720938 SRB720938 TAX720938 TKT720938 TUP720938 UEL720938 UOH720938 UYD720938 VHZ720938 VRV720938 WBR720938 WLN720938 WVJ720938 B786474 IX786474 ST786474 ACP786474 AML786474 AWH786474 BGD786474 BPZ786474 BZV786474 CJR786474 CTN786474 DDJ786474 DNF786474 DXB786474 EGX786474 EQT786474 FAP786474 FKL786474 FUH786474 GED786474 GNZ786474 GXV786474 HHR786474 HRN786474 IBJ786474 ILF786474 IVB786474 JEX786474 JOT786474 JYP786474 KIL786474 KSH786474 LCD786474 LLZ786474 LVV786474 MFR786474 MPN786474 MZJ786474 NJF786474 NTB786474 OCX786474 OMT786474 OWP786474 PGL786474 PQH786474 QAD786474 QJZ786474 QTV786474 RDR786474 RNN786474 RXJ786474 SHF786474 SRB786474 TAX786474 TKT786474 TUP786474 UEL786474 UOH786474 UYD786474 VHZ786474 VRV786474 WBR786474 WLN786474 WVJ786474 B852010 IX852010 ST852010 ACP852010 AML852010 AWH852010 BGD852010 BPZ852010 BZV852010 CJR852010 CTN852010 DDJ852010 DNF852010 DXB852010 EGX852010 EQT852010 FAP852010 FKL852010 FUH852010 GED852010 GNZ852010 GXV852010 HHR852010 HRN852010 IBJ852010 ILF852010 IVB852010 JEX852010 JOT852010 JYP852010 KIL852010 KSH852010 LCD852010 LLZ852010 LVV852010 MFR852010 MPN852010 MZJ852010 NJF852010 NTB852010 OCX852010 OMT852010 OWP852010 PGL852010 PQH852010 QAD852010 QJZ852010 QTV852010 RDR852010 RNN852010 RXJ852010 SHF852010 SRB852010 TAX852010 TKT852010 TUP852010 UEL852010 UOH852010 UYD852010 VHZ852010 VRV852010 WBR852010 WLN852010 WVJ852010 B917546 IX917546 ST917546 ACP917546 AML917546 AWH917546 BGD917546 BPZ917546 BZV917546 CJR917546 CTN917546 DDJ917546 DNF917546 DXB917546 EGX917546 EQT917546 FAP917546 FKL917546 FUH917546 GED917546 GNZ917546 GXV917546 HHR917546 HRN917546 IBJ917546 ILF917546 IVB917546 JEX917546 JOT917546 JYP917546 KIL917546 KSH917546 LCD917546 LLZ917546 LVV917546 MFR917546 MPN917546 MZJ917546 NJF917546 NTB917546 OCX917546 OMT917546 OWP917546 PGL917546 PQH917546 QAD917546 QJZ917546 QTV917546 RDR917546 RNN917546 RXJ917546 SHF917546 SRB917546 TAX917546 TKT917546 TUP917546 UEL917546 UOH917546 UYD917546 VHZ917546 VRV917546 WBR917546 WLN917546 WVJ917546 B983082 IX983082 ST983082 ACP983082 AML983082 AWH983082 BGD983082 BPZ983082 BZV983082 CJR983082 CTN983082 DDJ983082 DNF983082 DXB983082 EGX983082 EQT983082 FAP983082 FKL983082 FUH983082 GED983082 GNZ983082 GXV983082 HHR983082 HRN983082 IBJ983082 ILF983082 IVB983082 JEX983082 JOT983082 JYP983082 KIL983082 KSH983082 LCD983082 LLZ983082 LVV983082 MFR983082 MPN983082 MZJ983082 NJF983082 NTB983082 OCX983082 OMT983082 OWP983082 PGL983082 PQH983082 QAD983082 QJZ983082 QTV983082 RDR983082 RNN983082 RXJ983082 SHF983082 SRB983082 TAX983082 TKT983082 TUP983082 UEL983082 UOH983082 UYD983082 VHZ983082 VRV983082 WBR983082 WLN983082 WVJ983082">
      <formula1>SeriesTypes</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22"/>
  <sheetViews>
    <sheetView workbookViewId="0"/>
  </sheetViews>
  <sheetFormatPr defaultRowHeight="15" x14ac:dyDescent="0.25"/>
  <cols>
    <col min="1" max="1" width="22.42578125" bestFit="1" customWidth="1"/>
    <col min="2" max="2" width="39.85546875" style="1" bestFit="1" customWidth="1"/>
    <col min="3" max="3" width="34.5703125" customWidth="1"/>
    <col min="4" max="4" width="16.28515625" bestFit="1" customWidth="1"/>
    <col min="5" max="5" width="38.28515625" bestFit="1" customWidth="1"/>
  </cols>
  <sheetData>
    <row r="1" spans="1:5" x14ac:dyDescent="0.25">
      <c r="A1" s="2" t="s">
        <v>6</v>
      </c>
      <c r="B1" s="3" t="s">
        <v>7</v>
      </c>
    </row>
    <row r="2" spans="1:5" x14ac:dyDescent="0.25">
      <c r="A2" t="s">
        <v>2</v>
      </c>
      <c r="B2" s="4" t="s">
        <v>329</v>
      </c>
      <c r="E2" s="5"/>
    </row>
    <row r="3" spans="1:5" x14ac:dyDescent="0.25">
      <c r="A3" t="s">
        <v>3</v>
      </c>
      <c r="B3" s="4" t="s">
        <v>330</v>
      </c>
    </row>
    <row r="4" spans="1:5" x14ac:dyDescent="0.25">
      <c r="A4" t="s">
        <v>14</v>
      </c>
      <c r="B4" s="4" t="s">
        <v>129</v>
      </c>
    </row>
    <row r="5" spans="1:5" x14ac:dyDescent="0.25">
      <c r="A5" t="s">
        <v>4</v>
      </c>
      <c r="B5" s="4">
        <v>2011</v>
      </c>
    </row>
    <row r="6" spans="1:5" x14ac:dyDescent="0.25">
      <c r="A6" t="s">
        <v>57</v>
      </c>
      <c r="B6" s="4">
        <v>31</v>
      </c>
    </row>
    <row r="7" spans="1:5" x14ac:dyDescent="0.25">
      <c r="A7" t="s">
        <v>5</v>
      </c>
      <c r="B7" s="57">
        <v>1000000</v>
      </c>
    </row>
    <row r="8" spans="1:5" x14ac:dyDescent="0.25">
      <c r="A8" t="s">
        <v>198</v>
      </c>
      <c r="B8" s="4" t="s">
        <v>202</v>
      </c>
    </row>
    <row r="9" spans="1:5" x14ac:dyDescent="0.25">
      <c r="A9" t="s">
        <v>203</v>
      </c>
      <c r="B9" s="4" t="s">
        <v>331</v>
      </c>
    </row>
    <row r="10" spans="1:5" x14ac:dyDescent="0.25">
      <c r="B10"/>
    </row>
    <row r="11" spans="1:5" x14ac:dyDescent="0.25">
      <c r="B11" s="7" t="s">
        <v>147</v>
      </c>
      <c r="C11" s="7" t="s">
        <v>148</v>
      </c>
      <c r="D11" s="8" t="s">
        <v>199</v>
      </c>
      <c r="E11" s="8" t="str">
        <f>"Relation to Threshold Signifying " &amp; B8</f>
        <v>Relation to Threshold Signifying Default</v>
      </c>
    </row>
    <row r="12" spans="1:5" x14ac:dyDescent="0.25">
      <c r="A12" s="27" t="s">
        <v>149</v>
      </c>
      <c r="B12" s="28" t="s">
        <v>1</v>
      </c>
      <c r="C12" s="29" t="s">
        <v>150</v>
      </c>
      <c r="D12" s="29">
        <v>0.25</v>
      </c>
      <c r="E12" s="30" t="s">
        <v>209</v>
      </c>
    </row>
    <row r="13" spans="1:5" x14ac:dyDescent="0.25">
      <c r="A13" s="9" t="s">
        <v>151</v>
      </c>
      <c r="B13" s="6" t="s">
        <v>0</v>
      </c>
      <c r="C13" s="10" t="s">
        <v>152</v>
      </c>
      <c r="D13" s="52"/>
      <c r="E13" s="53"/>
    </row>
    <row r="14" spans="1:5" x14ac:dyDescent="0.25">
      <c r="A14" s="9" t="s">
        <v>153</v>
      </c>
      <c r="B14" s="6" t="s">
        <v>154</v>
      </c>
      <c r="C14" s="10" t="s">
        <v>155</v>
      </c>
      <c r="D14" s="54"/>
      <c r="E14" s="55"/>
    </row>
    <row r="15" spans="1:5" x14ac:dyDescent="0.25">
      <c r="A15" s="9" t="s">
        <v>156</v>
      </c>
      <c r="B15" s="6" t="s">
        <v>157</v>
      </c>
      <c r="C15" s="10" t="s">
        <v>158</v>
      </c>
      <c r="D15" s="54"/>
      <c r="E15" s="55"/>
    </row>
    <row r="16" spans="1:5" x14ac:dyDescent="0.25">
      <c r="A16" s="9" t="s">
        <v>159</v>
      </c>
      <c r="B16" s="6" t="s">
        <v>317</v>
      </c>
      <c r="C16" s="10" t="s">
        <v>281</v>
      </c>
      <c r="D16" s="54"/>
      <c r="E16" s="55"/>
    </row>
    <row r="18" spans="1:2" x14ac:dyDescent="0.25">
      <c r="B18" s="39" t="s">
        <v>318</v>
      </c>
    </row>
    <row r="19" spans="1:2" x14ac:dyDescent="0.25">
      <c r="B19" s="38"/>
    </row>
    <row r="22" spans="1:2" x14ac:dyDescent="0.25">
      <c r="A22" s="37"/>
    </row>
  </sheetData>
  <mergeCells count="1">
    <mergeCell ref="D13:E16"/>
  </mergeCells>
  <dataValidations count="1">
    <dataValidation type="list" allowBlank="1" showInputMessage="1" showErrorMessage="1" sqref="B12">
      <formula1>xdefaultratios</formula1>
    </dataValidation>
  </dataValidations>
  <pageMargins left="0.7" right="0.7" top="0.75" bottom="0.75" header="0.3" footer="0.3"/>
  <pageSetup paperSize="9" orientation="portrait" horizontalDpi="360" verticalDpi="360" r:id="rId1"/>
  <drawing r:id="rId2"/>
  <legacyDrawing r:id="rId3"/>
  <controls>
    <mc:AlternateContent xmlns:mc="http://schemas.openxmlformats.org/markup-compatibility/2006">
      <mc:Choice Requires="x14">
        <control shapeId="2049" r:id="rId4" name="CommandButtonPanel">
          <controlPr defaultSize="0" autoLine="0" r:id="rId5">
            <anchor moveWithCells="1">
              <from>
                <xdr:col>1</xdr:col>
                <xdr:colOff>257175</xdr:colOff>
                <xdr:row>20</xdr:row>
                <xdr:rowOff>0</xdr:rowOff>
              </from>
              <to>
                <xdr:col>1</xdr:col>
                <xdr:colOff>2400300</xdr:colOff>
                <xdr:row>22</xdr:row>
                <xdr:rowOff>0</xdr:rowOff>
              </to>
            </anchor>
          </controlPr>
        </control>
      </mc:Choice>
      <mc:Fallback>
        <control shapeId="2049" r:id="rId4" name="CommandButtonPanel"/>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P51"/>
  <sheetViews>
    <sheetView zoomScale="75" zoomScaleNormal="75" workbookViewId="0"/>
  </sheetViews>
  <sheetFormatPr defaultRowHeight="15" x14ac:dyDescent="0.25"/>
  <cols>
    <col min="1" max="1" width="19.42578125" style="37" customWidth="1"/>
    <col min="2" max="2" width="63" style="37" bestFit="1" customWidth="1"/>
    <col min="3" max="3" width="17" style="37" bestFit="1" customWidth="1"/>
    <col min="4" max="4" width="19.28515625" style="37" bestFit="1" customWidth="1"/>
    <col min="5" max="5" width="9.5703125" style="37" bestFit="1" customWidth="1"/>
    <col min="6" max="6" width="9.85546875" style="37" bestFit="1" customWidth="1"/>
    <col min="7" max="7" width="13.42578125" style="37" bestFit="1" customWidth="1"/>
    <col min="8" max="8" width="22.42578125" style="37" bestFit="1" customWidth="1"/>
    <col min="9" max="9" width="56.5703125" style="37" bestFit="1" customWidth="1"/>
    <col min="10" max="10" width="21.5703125" style="37" bestFit="1" customWidth="1"/>
    <col min="11" max="11" width="15.140625" style="46" bestFit="1" customWidth="1"/>
    <col min="12" max="42" width="98.7109375" style="46" customWidth="1"/>
    <col min="43" max="16384" width="9.140625" style="37"/>
  </cols>
  <sheetData>
    <row r="1" spans="1:42" s="2" customFormat="1" x14ac:dyDescent="0.25">
      <c r="A1" s="2" t="s">
        <v>8</v>
      </c>
      <c r="B1" s="2" t="s">
        <v>17</v>
      </c>
      <c r="C1" s="58" t="s">
        <v>9</v>
      </c>
      <c r="D1" s="3" t="s">
        <v>142</v>
      </c>
      <c r="E1" s="3" t="s">
        <v>59</v>
      </c>
      <c r="F1" s="3" t="s">
        <v>60</v>
      </c>
      <c r="G1" s="3" t="s">
        <v>91</v>
      </c>
      <c r="H1" s="3" t="s">
        <v>92</v>
      </c>
      <c r="I1" s="58" t="s">
        <v>61</v>
      </c>
      <c r="J1" s="3" t="s">
        <v>93</v>
      </c>
      <c r="K1" s="3" t="s">
        <v>26</v>
      </c>
      <c r="L1" s="3" t="s">
        <v>27</v>
      </c>
      <c r="M1" s="3" t="s">
        <v>28</v>
      </c>
      <c r="N1" s="3" t="s">
        <v>29</v>
      </c>
      <c r="O1" s="3" t="s">
        <v>30</v>
      </c>
      <c r="P1" s="3" t="s">
        <v>31</v>
      </c>
      <c r="Q1" s="3" t="s">
        <v>32</v>
      </c>
      <c r="R1" s="3" t="s">
        <v>33</v>
      </c>
      <c r="S1" s="3" t="s">
        <v>34</v>
      </c>
      <c r="T1" s="3" t="s">
        <v>35</v>
      </c>
      <c r="U1" s="3" t="s">
        <v>36</v>
      </c>
      <c r="V1" s="3" t="s">
        <v>37</v>
      </c>
      <c r="W1" s="3" t="s">
        <v>38</v>
      </c>
      <c r="X1" s="3" t="s">
        <v>39</v>
      </c>
      <c r="Y1" s="3" t="s">
        <v>40</v>
      </c>
      <c r="Z1" s="3" t="s">
        <v>41</v>
      </c>
      <c r="AA1" s="3" t="s">
        <v>42</v>
      </c>
      <c r="AB1" s="3" t="s">
        <v>43</v>
      </c>
      <c r="AC1" s="3" t="s">
        <v>44</v>
      </c>
      <c r="AD1" s="3" t="s">
        <v>45</v>
      </c>
      <c r="AE1" s="3" t="s">
        <v>46</v>
      </c>
      <c r="AF1" s="3" t="s">
        <v>47</v>
      </c>
      <c r="AG1" s="3" t="s">
        <v>48</v>
      </c>
      <c r="AH1" s="3" t="s">
        <v>49</v>
      </c>
      <c r="AI1" s="3" t="s">
        <v>50</v>
      </c>
      <c r="AJ1" s="3" t="s">
        <v>51</v>
      </c>
      <c r="AK1" s="3" t="s">
        <v>52</v>
      </c>
      <c r="AL1" s="3" t="s">
        <v>53</v>
      </c>
      <c r="AM1" s="3" t="s">
        <v>54</v>
      </c>
      <c r="AN1" s="3" t="s">
        <v>55</v>
      </c>
      <c r="AO1" s="3" t="s">
        <v>56</v>
      </c>
      <c r="AP1" s="3" t="s">
        <v>130</v>
      </c>
    </row>
    <row r="2" spans="1:42" x14ac:dyDescent="0.25">
      <c r="A2" s="59" t="s">
        <v>210</v>
      </c>
      <c r="B2" s="59" t="s">
        <v>211</v>
      </c>
      <c r="C2" s="60" t="s">
        <v>58</v>
      </c>
      <c r="D2" s="61" t="s">
        <v>144</v>
      </c>
      <c r="E2" s="61"/>
      <c r="F2" s="61"/>
      <c r="G2" s="61">
        <v>0</v>
      </c>
      <c r="H2" s="61">
        <v>0.5</v>
      </c>
      <c r="I2" s="59" t="s">
        <v>212</v>
      </c>
      <c r="J2" s="61" t="s">
        <v>94</v>
      </c>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row>
    <row r="3" spans="1:42" x14ac:dyDescent="0.25">
      <c r="A3" s="59" t="s">
        <v>332</v>
      </c>
      <c r="B3" s="59" t="s">
        <v>333</v>
      </c>
      <c r="C3" s="60" t="s">
        <v>58</v>
      </c>
      <c r="D3" s="61" t="s">
        <v>144</v>
      </c>
      <c r="E3" s="61"/>
      <c r="F3" s="61"/>
      <c r="G3" s="61">
        <v>0</v>
      </c>
      <c r="H3" s="61">
        <v>0.5</v>
      </c>
      <c r="I3" s="59" t="s">
        <v>334</v>
      </c>
      <c r="J3" s="61" t="s">
        <v>94</v>
      </c>
      <c r="K3" s="3"/>
      <c r="L3" s="3"/>
      <c r="M3" s="3"/>
      <c r="N3" s="3"/>
      <c r="O3" s="3"/>
      <c r="P3" s="3"/>
      <c r="Q3" s="3"/>
      <c r="R3" s="3"/>
      <c r="S3" s="3"/>
      <c r="T3" s="3"/>
      <c r="U3" s="3"/>
      <c r="V3" s="3"/>
      <c r="W3" s="3"/>
      <c r="X3" s="3"/>
      <c r="Y3" s="3"/>
      <c r="Z3" s="3"/>
      <c r="AA3" s="3"/>
      <c r="AB3" s="3"/>
      <c r="AC3" s="3"/>
      <c r="AD3" s="3"/>
      <c r="AE3" s="3"/>
      <c r="AF3" s="3"/>
      <c r="AG3" s="3"/>
      <c r="AH3" s="3"/>
      <c r="AI3" s="3"/>
      <c r="AJ3" s="3"/>
      <c r="AK3" s="3"/>
      <c r="AL3" s="3"/>
      <c r="AM3" s="3"/>
      <c r="AN3" s="3"/>
      <c r="AO3" s="3"/>
      <c r="AP3" s="3"/>
    </row>
    <row r="4" spans="1:42" x14ac:dyDescent="0.25">
      <c r="A4" s="59" t="s">
        <v>213</v>
      </c>
      <c r="B4" s="59" t="s">
        <v>214</v>
      </c>
      <c r="C4" s="60" t="s">
        <v>58</v>
      </c>
      <c r="D4" s="61" t="s">
        <v>144</v>
      </c>
      <c r="E4" s="61"/>
      <c r="F4" s="61"/>
      <c r="G4" s="61">
        <v>0</v>
      </c>
      <c r="H4" s="61">
        <v>0.5</v>
      </c>
      <c r="I4" s="59" t="s">
        <v>215</v>
      </c>
      <c r="J4" s="61" t="s">
        <v>94</v>
      </c>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row>
    <row r="5" spans="1:42" x14ac:dyDescent="0.25">
      <c r="A5" s="59" t="s">
        <v>216</v>
      </c>
      <c r="B5" s="59" t="s">
        <v>217</v>
      </c>
      <c r="C5" s="60" t="s">
        <v>58</v>
      </c>
      <c r="D5" s="61" t="s">
        <v>144</v>
      </c>
      <c r="E5" s="61"/>
      <c r="F5" s="61"/>
      <c r="G5" s="61">
        <v>0</v>
      </c>
      <c r="H5" s="61">
        <v>0.5</v>
      </c>
      <c r="I5" s="59" t="s">
        <v>218</v>
      </c>
      <c r="J5" s="61" t="s">
        <v>94</v>
      </c>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row>
    <row r="6" spans="1:42" x14ac:dyDescent="0.25">
      <c r="A6" s="59" t="s">
        <v>219</v>
      </c>
      <c r="B6" s="59" t="s">
        <v>220</v>
      </c>
      <c r="C6" s="60" t="s">
        <v>58</v>
      </c>
      <c r="D6" s="61" t="s">
        <v>144</v>
      </c>
      <c r="E6" s="61"/>
      <c r="F6" s="61"/>
      <c r="G6" s="61">
        <v>0</v>
      </c>
      <c r="H6" s="61">
        <v>0.5</v>
      </c>
      <c r="I6" s="59" t="s">
        <v>221</v>
      </c>
      <c r="J6" s="61" t="s">
        <v>94</v>
      </c>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row>
    <row r="7" spans="1:42" x14ac:dyDescent="0.25">
      <c r="A7" s="59" t="s">
        <v>335</v>
      </c>
      <c r="B7" s="59" t="s">
        <v>222</v>
      </c>
      <c r="C7" s="60" t="s">
        <v>58</v>
      </c>
      <c r="D7" s="61" t="s">
        <v>144</v>
      </c>
      <c r="E7" s="61"/>
      <c r="F7" s="61"/>
      <c r="G7" s="61">
        <v>0</v>
      </c>
      <c r="H7" s="61">
        <v>0.5</v>
      </c>
      <c r="I7" s="59" t="s">
        <v>223</v>
      </c>
      <c r="J7" s="61" t="s">
        <v>94</v>
      </c>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row>
    <row r="8" spans="1:42" x14ac:dyDescent="0.25">
      <c r="A8" s="59" t="s">
        <v>224</v>
      </c>
      <c r="B8" s="59" t="s">
        <v>225</v>
      </c>
      <c r="C8" s="60" t="s">
        <v>58</v>
      </c>
      <c r="D8" s="61" t="s">
        <v>144</v>
      </c>
      <c r="E8" s="61"/>
      <c r="F8" s="61"/>
      <c r="G8" s="61">
        <v>0</v>
      </c>
      <c r="H8" s="61">
        <v>0.5</v>
      </c>
      <c r="I8" s="59" t="s">
        <v>223</v>
      </c>
      <c r="J8" s="61" t="s">
        <v>94</v>
      </c>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row>
    <row r="9" spans="1:42" x14ac:dyDescent="0.25">
      <c r="A9" s="59" t="s">
        <v>226</v>
      </c>
      <c r="B9" s="59" t="s">
        <v>227</v>
      </c>
      <c r="C9" s="60" t="s">
        <v>12</v>
      </c>
      <c r="D9" s="61" t="s">
        <v>228</v>
      </c>
      <c r="E9" s="61"/>
      <c r="F9" s="61"/>
      <c r="G9" s="61"/>
      <c r="H9" s="61"/>
      <c r="I9" s="60" t="s">
        <v>229</v>
      </c>
      <c r="J9" s="61" t="s">
        <v>94</v>
      </c>
      <c r="K9" s="62">
        <v>31</v>
      </c>
      <c r="L9" s="62">
        <v>32</v>
      </c>
      <c r="M9" s="62">
        <v>33</v>
      </c>
      <c r="N9" s="62">
        <v>34</v>
      </c>
      <c r="O9" s="62">
        <v>35</v>
      </c>
      <c r="P9" s="62">
        <v>36</v>
      </c>
      <c r="Q9" s="62">
        <v>37</v>
      </c>
      <c r="R9" s="62">
        <v>38</v>
      </c>
      <c r="S9" s="62">
        <v>39</v>
      </c>
      <c r="T9" s="62">
        <v>40</v>
      </c>
      <c r="U9" s="62">
        <v>41</v>
      </c>
      <c r="V9" s="62">
        <v>42</v>
      </c>
      <c r="W9" s="62">
        <v>43</v>
      </c>
      <c r="X9" s="62">
        <v>44</v>
      </c>
      <c r="Y9" s="62">
        <v>45</v>
      </c>
      <c r="Z9" s="62">
        <v>46</v>
      </c>
      <c r="AA9" s="62">
        <v>47</v>
      </c>
      <c r="AB9" s="62">
        <v>48</v>
      </c>
      <c r="AC9" s="62">
        <v>49</v>
      </c>
      <c r="AD9" s="62">
        <v>50</v>
      </c>
      <c r="AE9" s="62">
        <v>51</v>
      </c>
      <c r="AF9" s="62">
        <v>52</v>
      </c>
      <c r="AG9" s="62">
        <v>53</v>
      </c>
      <c r="AH9" s="62">
        <v>54</v>
      </c>
      <c r="AI9" s="62">
        <v>55</v>
      </c>
      <c r="AJ9" s="62">
        <v>56</v>
      </c>
      <c r="AK9" s="62">
        <v>57</v>
      </c>
      <c r="AL9" s="62">
        <v>58</v>
      </c>
      <c r="AM9" s="62">
        <v>59</v>
      </c>
      <c r="AN9" s="62">
        <v>60</v>
      </c>
      <c r="AO9" s="62">
        <v>61</v>
      </c>
      <c r="AP9" s="62">
        <v>62</v>
      </c>
    </row>
    <row r="10" spans="1:42" x14ac:dyDescent="0.25">
      <c r="A10" s="59" t="s">
        <v>230</v>
      </c>
      <c r="B10" s="59" t="s">
        <v>231</v>
      </c>
      <c r="C10" s="60" t="s">
        <v>12</v>
      </c>
      <c r="D10" s="61" t="s">
        <v>146</v>
      </c>
      <c r="E10" s="61"/>
      <c r="F10" s="61"/>
      <c r="G10" s="61"/>
      <c r="H10" s="61"/>
      <c r="I10" s="60" t="s">
        <v>102</v>
      </c>
      <c r="J10" s="61" t="s">
        <v>94</v>
      </c>
      <c r="K10" s="63">
        <v>722110</v>
      </c>
      <c r="L10" s="63">
        <v>737351.90515350876</v>
      </c>
      <c r="M10" s="63">
        <v>752791.75712719304</v>
      </c>
      <c r="N10" s="63">
        <v>768825.44956140348</v>
      </c>
      <c r="O10" s="63">
        <v>780009.44490131584</v>
      </c>
      <c r="P10" s="63">
        <v>791292.41365131584</v>
      </c>
      <c r="Q10" s="63">
        <v>802278.4621710527</v>
      </c>
      <c r="R10" s="63">
        <v>812967.59046052629</v>
      </c>
      <c r="S10" s="63">
        <v>822963.90487938607</v>
      </c>
      <c r="T10" s="63">
        <v>832267.40542763169</v>
      </c>
      <c r="U10" s="63">
        <v>840779.11869517551</v>
      </c>
      <c r="V10" s="63">
        <v>848202.1244517545</v>
      </c>
      <c r="W10" s="63">
        <v>854635.39610745618</v>
      </c>
      <c r="X10" s="63">
        <v>859979.96025219304</v>
      </c>
      <c r="Y10" s="63">
        <v>864235.81688596494</v>
      </c>
      <c r="Z10" s="63">
        <v>867402.96600877191</v>
      </c>
      <c r="AA10" s="63">
        <v>869580.3810307018</v>
      </c>
      <c r="AB10" s="63">
        <v>870867.03536184202</v>
      </c>
      <c r="AC10" s="63">
        <v>871559.84923245618</v>
      </c>
      <c r="AD10" s="63">
        <v>871856.76946271933</v>
      </c>
      <c r="AE10" s="63">
        <v>872054.71628289483</v>
      </c>
      <c r="AF10" s="63">
        <v>872450.60992324562</v>
      </c>
      <c r="AG10" s="63">
        <v>873440.34402412281</v>
      </c>
      <c r="AH10" s="63">
        <v>875122.89199561416</v>
      </c>
      <c r="AI10" s="63">
        <v>877696.20065789472</v>
      </c>
      <c r="AJ10" s="63">
        <v>881457.19024122809</v>
      </c>
      <c r="AK10" s="63">
        <v>884640.95070730976</v>
      </c>
      <c r="AL10" s="63">
        <v>887524.08344207867</v>
      </c>
      <c r="AM10" s="63">
        <v>890225.45779074193</v>
      </c>
      <c r="AN10" s="63">
        <v>893034.81142254546</v>
      </c>
      <c r="AO10" s="63">
        <v>895731.17303344863</v>
      </c>
      <c r="AP10" s="63">
        <v>898346.75344138662</v>
      </c>
    </row>
    <row r="11" spans="1:42" x14ac:dyDescent="0.25">
      <c r="A11" s="59" t="s">
        <v>100</v>
      </c>
      <c r="B11" s="59" t="s">
        <v>101</v>
      </c>
      <c r="C11" s="60" t="s">
        <v>12</v>
      </c>
      <c r="D11" s="61" t="s">
        <v>146</v>
      </c>
      <c r="E11" s="61"/>
      <c r="F11" s="61"/>
      <c r="G11" s="61"/>
      <c r="H11" s="61"/>
      <c r="I11" s="60" t="s">
        <v>102</v>
      </c>
      <c r="J11" s="61" t="s">
        <v>94</v>
      </c>
      <c r="K11" s="63">
        <v>2360538</v>
      </c>
      <c r="L11" s="63">
        <v>2350776.7137010004</v>
      </c>
      <c r="M11" s="63">
        <v>2345796.4655892658</v>
      </c>
      <c r="N11" s="63">
        <v>2344401.9961179793</v>
      </c>
      <c r="O11" s="63">
        <v>2349083.4293430103</v>
      </c>
      <c r="P11" s="63">
        <v>2359143.5305287144</v>
      </c>
      <c r="Q11" s="63">
        <v>2376674.0038820202</v>
      </c>
      <c r="R11" s="63">
        <v>2399284.330309296</v>
      </c>
      <c r="S11" s="63">
        <v>2426078.0651504281</v>
      </c>
      <c r="T11" s="63">
        <v>2454565.0843495508</v>
      </c>
      <c r="U11" s="63">
        <v>2488032.3516604076</v>
      </c>
      <c r="V11" s="63">
        <v>2523192.9033292541</v>
      </c>
      <c r="W11" s="63">
        <v>2559249.8996582134</v>
      </c>
      <c r="X11" s="63">
        <v>2593314.7967424789</v>
      </c>
      <c r="Y11" s="63">
        <v>2628973.3732224987</v>
      </c>
      <c r="Z11" s="63">
        <v>2664034.3199291117</v>
      </c>
      <c r="AA11" s="63">
        <v>2700688.9460314787</v>
      </c>
      <c r="AB11" s="63">
        <v>2735451.0778513867</v>
      </c>
      <c r="AC11" s="63">
        <v>2769017.950124478</v>
      </c>
      <c r="AD11" s="63">
        <v>2796210.1048145494</v>
      </c>
      <c r="AE11" s="63">
        <v>2821210.9503354575</v>
      </c>
      <c r="AF11" s="63">
        <v>2844219.6966116712</v>
      </c>
      <c r="AG11" s="63">
        <v>2864837.9237942523</v>
      </c>
      <c r="AH11" s="63">
        <v>2883264.8418076704</v>
      </c>
      <c r="AI11" s="63">
        <v>2899301.2407274558</v>
      </c>
      <c r="AJ11" s="63">
        <v>2913544.7503270181</v>
      </c>
      <c r="AK11" s="63">
        <v>2925614.8372193188</v>
      </c>
      <c r="AL11" s="63">
        <v>2936433.3104682826</v>
      </c>
      <c r="AM11" s="63">
        <v>2947272.7164091417</v>
      </c>
      <c r="AN11" s="63">
        <v>2958817.1748251584</v>
      </c>
      <c r="AO11" s="63">
        <v>2972441.8461593487</v>
      </c>
      <c r="AP11" s="63">
        <v>2988848.0076055769</v>
      </c>
    </row>
    <row r="12" spans="1:42" x14ac:dyDescent="0.25">
      <c r="A12" s="59" t="s">
        <v>232</v>
      </c>
      <c r="B12" s="59" t="s">
        <v>233</v>
      </c>
      <c r="C12" s="60" t="s">
        <v>12</v>
      </c>
      <c r="D12" s="61" t="s">
        <v>146</v>
      </c>
      <c r="E12" s="61"/>
      <c r="F12" s="61"/>
      <c r="G12" s="61"/>
      <c r="H12" s="61"/>
      <c r="I12" s="60" t="s">
        <v>102</v>
      </c>
      <c r="J12" s="61" t="s">
        <v>94</v>
      </c>
      <c r="K12" s="63">
        <v>11163211</v>
      </c>
      <c r="L12" s="63">
        <v>11321381.239603238</v>
      </c>
      <c r="M12" s="63">
        <v>11476362.161205649</v>
      </c>
      <c r="N12" s="63">
        <v>11626359.77343178</v>
      </c>
      <c r="O12" s="63">
        <v>11774563.394282449</v>
      </c>
      <c r="P12" s="63">
        <v>11917285.374819204</v>
      </c>
      <c r="Q12" s="63">
        <v>12057914.365417922</v>
      </c>
      <c r="R12" s="63">
        <v>12196649.698453654</v>
      </c>
      <c r="S12" s="63">
        <v>12336581.02573969</v>
      </c>
      <c r="T12" s="63">
        <v>12475914.355900578</v>
      </c>
      <c r="U12" s="63">
        <v>12616742.678874344</v>
      </c>
      <c r="V12" s="63">
        <v>12756076.009035224</v>
      </c>
      <c r="W12" s="63">
        <v>12897601.995321678</v>
      </c>
      <c r="X12" s="63">
        <v>13040423.642045962</v>
      </c>
      <c r="Y12" s="63">
        <v>13189324.926209306</v>
      </c>
      <c r="Z12" s="63">
        <v>13339920.535560589</v>
      </c>
      <c r="AA12" s="63">
        <v>13491811.805349711</v>
      </c>
      <c r="AB12" s="63">
        <v>13645098.401764188</v>
      </c>
      <c r="AC12" s="63">
        <v>13799481.32624145</v>
      </c>
      <c r="AD12" s="63">
        <v>13955060.244969018</v>
      </c>
      <c r="AE12" s="63">
        <v>14111336.827009264</v>
      </c>
      <c r="AF12" s="63">
        <v>14268111.739987141</v>
      </c>
      <c r="AG12" s="63">
        <v>14425384.983902644</v>
      </c>
      <c r="AH12" s="63">
        <v>14582359.229255572</v>
      </c>
      <c r="AI12" s="63">
        <v>14739134.14223345</v>
      </c>
      <c r="AJ12" s="63">
        <v>14895111.72571112</v>
      </c>
      <c r="AK12" s="63">
        <v>15027978.144696807</v>
      </c>
      <c r="AL12" s="63">
        <v>15148934.991442567</v>
      </c>
      <c r="AM12" s="63">
        <v>15262807.537448233</v>
      </c>
      <c r="AN12" s="63">
        <v>15381759.916502798</v>
      </c>
      <c r="AO12" s="63">
        <v>15496455.865558688</v>
      </c>
      <c r="AP12" s="63">
        <v>15608207.806459732</v>
      </c>
    </row>
    <row r="13" spans="1:42" x14ac:dyDescent="0.25">
      <c r="A13" s="59" t="s">
        <v>103</v>
      </c>
      <c r="B13" s="59" t="s">
        <v>104</v>
      </c>
      <c r="C13" s="60" t="s">
        <v>12</v>
      </c>
      <c r="D13" s="61" t="s">
        <v>146</v>
      </c>
      <c r="E13" s="61"/>
      <c r="F13" s="61"/>
      <c r="G13" s="61"/>
      <c r="H13" s="61"/>
      <c r="I13" s="60" t="s">
        <v>102</v>
      </c>
      <c r="J13" s="61" t="s">
        <v>94</v>
      </c>
      <c r="K13" s="63">
        <v>1892486</v>
      </c>
      <c r="L13" s="63">
        <v>1971289.5810610864</v>
      </c>
      <c r="M13" s="63">
        <v>2046593.0030648911</v>
      </c>
      <c r="N13" s="63">
        <v>2118396.2660114141</v>
      </c>
      <c r="O13" s="63">
        <v>2191199.5744028748</v>
      </c>
      <c r="P13" s="63">
        <v>2266002.9736842108</v>
      </c>
      <c r="Q13" s="63">
        <v>2342006.4274994722</v>
      </c>
      <c r="R13" s="63">
        <v>2423410.1267173956</v>
      </c>
      <c r="S13" s="63">
        <v>2510014.062248996</v>
      </c>
      <c r="T13" s="63">
        <v>2601818.2340942714</v>
      </c>
      <c r="U13" s="63">
        <v>2694422.4422954982</v>
      </c>
      <c r="V13" s="63">
        <v>2791426.8504544497</v>
      </c>
      <c r="W13" s="63">
        <v>2890831.3676812509</v>
      </c>
      <c r="X13" s="63">
        <v>2992135.9712534337</v>
      </c>
      <c r="Y13" s="63">
        <v>3098540.8065948002</v>
      </c>
      <c r="Z13" s="63">
        <v>3208445.8009934481</v>
      </c>
      <c r="AA13" s="63">
        <v>3317650.7635806375</v>
      </c>
      <c r="AB13" s="63">
        <v>3432755.994292961</v>
      </c>
      <c r="AC13" s="63">
        <v>3545761.129570914</v>
      </c>
      <c r="AD13" s="63">
        <v>3650765.9012893667</v>
      </c>
      <c r="AE13" s="63">
        <v>3740569.9822447672</v>
      </c>
      <c r="AF13" s="63">
        <v>3818173.5087719285</v>
      </c>
      <c r="AG13" s="63">
        <v>3891476.8398858588</v>
      </c>
      <c r="AH13" s="63">
        <v>3962980.089198899</v>
      </c>
      <c r="AI13" s="63">
        <v>4033783.3067004844</v>
      </c>
      <c r="AJ13" s="63">
        <v>4102686.4378566877</v>
      </c>
      <c r="AK13" s="63">
        <v>4161757.661611327</v>
      </c>
      <c r="AL13" s="63">
        <v>4215825.9805395501</v>
      </c>
      <c r="AM13" s="63">
        <v>4266977.1753089698</v>
      </c>
      <c r="AN13" s="63">
        <v>4320655.0363430548</v>
      </c>
      <c r="AO13" s="63">
        <v>4372657.9672807101</v>
      </c>
      <c r="AP13" s="63">
        <v>4423556.3960770173</v>
      </c>
    </row>
    <row r="14" spans="1:42" s="59" customFormat="1" x14ac:dyDescent="0.25">
      <c r="A14" s="59" t="s">
        <v>234</v>
      </c>
      <c r="B14" s="59" t="s">
        <v>235</v>
      </c>
      <c r="C14" s="60" t="s">
        <v>12</v>
      </c>
      <c r="D14" s="61" t="s">
        <v>146</v>
      </c>
      <c r="E14" s="61"/>
      <c r="F14" s="61"/>
      <c r="G14" s="61"/>
      <c r="H14" s="61"/>
      <c r="I14" s="60" t="s">
        <v>102</v>
      </c>
      <c r="J14" s="61" t="s">
        <v>94</v>
      </c>
      <c r="K14" s="63">
        <v>9270725</v>
      </c>
      <c r="L14" s="63">
        <v>9350091.6585421525</v>
      </c>
      <c r="M14" s="63">
        <v>9429769.1581407581</v>
      </c>
      <c r="N14" s="63">
        <v>9507963.5074203648</v>
      </c>
      <c r="O14" s="63">
        <v>9583363.8198795747</v>
      </c>
      <c r="P14" s="63">
        <v>9651282.4011349939</v>
      </c>
      <c r="Q14" s="63">
        <v>9715907.9379184507</v>
      </c>
      <c r="R14" s="63">
        <v>9773239.5717362575</v>
      </c>
      <c r="S14" s="63">
        <v>9826566.9634906948</v>
      </c>
      <c r="T14" s="63">
        <v>9874096.1218063068</v>
      </c>
      <c r="U14" s="63">
        <v>9922320.2365788445</v>
      </c>
      <c r="V14" s="63">
        <v>9964649.1585807744</v>
      </c>
      <c r="W14" s="63">
        <v>10006770.627640426</v>
      </c>
      <c r="X14" s="63">
        <v>10048287.670792527</v>
      </c>
      <c r="Y14" s="63">
        <v>10090784.119614506</v>
      </c>
      <c r="Z14" s="63">
        <v>10131474.734567141</v>
      </c>
      <c r="AA14" s="63">
        <v>10174161.041769074</v>
      </c>
      <c r="AB14" s="63">
        <v>10212342.407471227</v>
      </c>
      <c r="AC14" s="63">
        <v>10253720.196670536</v>
      </c>
      <c r="AD14" s="63">
        <v>10304294.343679652</v>
      </c>
      <c r="AE14" s="63">
        <v>10370766.844764497</v>
      </c>
      <c r="AF14" s="63">
        <v>10449938.231215212</v>
      </c>
      <c r="AG14" s="63">
        <v>10533908.144016786</v>
      </c>
      <c r="AH14" s="63">
        <v>10619379.140056673</v>
      </c>
      <c r="AI14" s="63">
        <v>10705350.835532965</v>
      </c>
      <c r="AJ14" s="63">
        <v>10792425.287854433</v>
      </c>
      <c r="AK14" s="63">
        <v>10866220.48308548</v>
      </c>
      <c r="AL14" s="63">
        <v>10933109.010903016</v>
      </c>
      <c r="AM14" s="63">
        <v>10995830.362139262</v>
      </c>
      <c r="AN14" s="63">
        <v>11061104.880159743</v>
      </c>
      <c r="AO14" s="63">
        <v>11123797.898277977</v>
      </c>
      <c r="AP14" s="63">
        <v>11184651.410382714</v>
      </c>
    </row>
    <row r="15" spans="1:42" s="59" customFormat="1" x14ac:dyDescent="0.25">
      <c r="A15" s="37" t="s">
        <v>18</v>
      </c>
      <c r="B15" s="37" t="s">
        <v>16</v>
      </c>
      <c r="C15" s="60" t="s">
        <v>12</v>
      </c>
      <c r="D15" s="61" t="s">
        <v>146</v>
      </c>
      <c r="E15" s="61"/>
      <c r="F15" s="61"/>
      <c r="G15" s="61"/>
      <c r="H15" s="61"/>
      <c r="I15" s="60" t="s">
        <v>102</v>
      </c>
      <c r="J15" s="61" t="s">
        <v>94</v>
      </c>
      <c r="K15" s="63">
        <v>13372996</v>
      </c>
      <c r="L15" s="63">
        <v>13546433.221385419</v>
      </c>
      <c r="M15" s="63">
        <v>13722759.402805403</v>
      </c>
      <c r="N15" s="63">
        <v>13898786.726290775</v>
      </c>
      <c r="O15" s="63">
        <v>14074315.953218468</v>
      </c>
      <c r="P15" s="63">
        <v>14249347.083588473</v>
      </c>
      <c r="Q15" s="63">
        <v>14423680.878777724</v>
      </c>
      <c r="R15" s="63">
        <v>14597118.100163143</v>
      </c>
      <c r="S15" s="63">
        <v>14769559.128433196</v>
      </c>
      <c r="T15" s="63">
        <v>14942996.349818615</v>
      </c>
      <c r="U15" s="63">
        <v>15117330.145007866</v>
      </c>
      <c r="V15" s="63">
        <v>15292162.036754798</v>
      </c>
      <c r="W15" s="63">
        <v>15467292.78643634</v>
      </c>
      <c r="X15" s="63">
        <v>15642423.536117885</v>
      </c>
      <c r="Y15" s="63">
        <v>15817355.047176354</v>
      </c>
      <c r="Z15" s="63">
        <v>15991688.842365604</v>
      </c>
      <c r="AA15" s="63">
        <v>16165325.302374097</v>
      </c>
      <c r="AB15" s="63">
        <v>16337965.569267223</v>
      </c>
      <c r="AC15" s="63">
        <v>16509609.64304498</v>
      </c>
      <c r="AD15" s="63">
        <v>16680058.285084296</v>
      </c>
      <c r="AE15" s="63">
        <v>16849311.495385177</v>
      </c>
      <c r="AF15" s="63">
        <v>17017269.654636074</v>
      </c>
      <c r="AG15" s="63">
        <v>17184231.620771606</v>
      </c>
      <c r="AH15" s="63">
        <v>17350097.774480235</v>
      </c>
      <c r="AI15" s="63">
        <v>17515067.354385033</v>
      </c>
      <c r="AJ15" s="63">
        <v>17679239.979797538</v>
      </c>
      <c r="AK15" s="63">
        <v>17843179.059521351</v>
      </c>
      <c r="AL15" s="63">
        <v>18006929.13634352</v>
      </c>
      <c r="AM15" s="63">
        <v>18170776.683929127</v>
      </c>
      <c r="AN15" s="63">
        <v>18334864.754458025</v>
      </c>
      <c r="AO15" s="63">
        <v>18499240.352878403</v>
      </c>
      <c r="AP15" s="63">
        <v>18664096.373216029</v>
      </c>
    </row>
    <row r="16" spans="1:42" s="59" customFormat="1" x14ac:dyDescent="0.25">
      <c r="A16" s="59" t="s">
        <v>236</v>
      </c>
      <c r="B16" s="59" t="s">
        <v>237</v>
      </c>
      <c r="C16" s="60" t="s">
        <v>12</v>
      </c>
      <c r="D16" s="61" t="s">
        <v>144</v>
      </c>
      <c r="E16" s="61">
        <v>0.3</v>
      </c>
      <c r="F16" s="61">
        <v>0.9</v>
      </c>
      <c r="G16" s="61"/>
      <c r="H16" s="61"/>
      <c r="I16" s="60" t="s">
        <v>238</v>
      </c>
      <c r="J16" s="61" t="s">
        <v>94</v>
      </c>
      <c r="K16" s="64">
        <v>0.66700000000000004</v>
      </c>
      <c r="L16" s="64">
        <v>0.66400000000000003</v>
      </c>
      <c r="M16" s="65" t="s">
        <v>336</v>
      </c>
      <c r="N16" s="66" t="s">
        <v>336</v>
      </c>
      <c r="O16" s="66" t="s">
        <v>336</v>
      </c>
      <c r="P16" s="66" t="s">
        <v>336</v>
      </c>
      <c r="Q16" s="66" t="s">
        <v>336</v>
      </c>
      <c r="R16" s="66" t="s">
        <v>336</v>
      </c>
      <c r="S16" s="66" t="s">
        <v>336</v>
      </c>
      <c r="T16" s="66" t="s">
        <v>336</v>
      </c>
      <c r="U16" s="66" t="s">
        <v>336</v>
      </c>
      <c r="V16" s="66" t="s">
        <v>336</v>
      </c>
      <c r="W16" s="66" t="s">
        <v>336</v>
      </c>
      <c r="X16" s="66" t="s">
        <v>336</v>
      </c>
      <c r="Y16" s="66" t="s">
        <v>336</v>
      </c>
      <c r="Z16" s="66" t="s">
        <v>336</v>
      </c>
      <c r="AA16" s="66" t="s">
        <v>336</v>
      </c>
      <c r="AB16" s="66" t="s">
        <v>336</v>
      </c>
      <c r="AC16" s="66" t="s">
        <v>336</v>
      </c>
      <c r="AD16" s="66" t="s">
        <v>336</v>
      </c>
      <c r="AE16" s="66" t="s">
        <v>336</v>
      </c>
      <c r="AF16" s="66" t="s">
        <v>336</v>
      </c>
      <c r="AG16" s="66" t="s">
        <v>336</v>
      </c>
      <c r="AH16" s="66" t="s">
        <v>336</v>
      </c>
      <c r="AI16" s="66" t="s">
        <v>336</v>
      </c>
      <c r="AJ16" s="66" t="s">
        <v>336</v>
      </c>
      <c r="AK16" s="66" t="s">
        <v>336</v>
      </c>
      <c r="AL16" s="66" t="s">
        <v>336</v>
      </c>
      <c r="AM16" s="66" t="s">
        <v>336</v>
      </c>
      <c r="AN16" s="66" t="s">
        <v>336</v>
      </c>
      <c r="AO16" s="66" t="s">
        <v>336</v>
      </c>
      <c r="AP16" s="66" t="s">
        <v>336</v>
      </c>
    </row>
    <row r="17" spans="1:42" s="59" customFormat="1" x14ac:dyDescent="0.25">
      <c r="A17" s="59" t="s">
        <v>239</v>
      </c>
      <c r="B17" s="59" t="s">
        <v>240</v>
      </c>
      <c r="C17" s="60" t="s">
        <v>12</v>
      </c>
      <c r="D17" s="61" t="s">
        <v>144</v>
      </c>
      <c r="E17" s="61">
        <v>0.05</v>
      </c>
      <c r="F17" s="61">
        <v>0.25</v>
      </c>
      <c r="G17" s="61"/>
      <c r="H17" s="61"/>
      <c r="I17" s="60" t="s">
        <v>241</v>
      </c>
      <c r="J17" s="61" t="s">
        <v>94</v>
      </c>
      <c r="K17" s="64">
        <v>0.128</v>
      </c>
      <c r="L17" s="64">
        <v>0.121</v>
      </c>
      <c r="M17" s="65" t="s">
        <v>337</v>
      </c>
      <c r="N17" s="66" t="s">
        <v>337</v>
      </c>
      <c r="O17" s="66" t="s">
        <v>337</v>
      </c>
      <c r="P17" s="66" t="s">
        <v>337</v>
      </c>
      <c r="Q17" s="66" t="s">
        <v>337</v>
      </c>
      <c r="R17" s="66" t="s">
        <v>337</v>
      </c>
      <c r="S17" s="66" t="s">
        <v>337</v>
      </c>
      <c r="T17" s="66" t="s">
        <v>337</v>
      </c>
      <c r="U17" s="66" t="s">
        <v>337</v>
      </c>
      <c r="V17" s="66" t="s">
        <v>337</v>
      </c>
      <c r="W17" s="66" t="s">
        <v>337</v>
      </c>
      <c r="X17" s="66" t="s">
        <v>337</v>
      </c>
      <c r="Y17" s="66" t="s">
        <v>337</v>
      </c>
      <c r="Z17" s="66" t="s">
        <v>337</v>
      </c>
      <c r="AA17" s="66" t="s">
        <v>337</v>
      </c>
      <c r="AB17" s="66" t="s">
        <v>337</v>
      </c>
      <c r="AC17" s="66" t="s">
        <v>337</v>
      </c>
      <c r="AD17" s="66" t="s">
        <v>337</v>
      </c>
      <c r="AE17" s="66" t="s">
        <v>337</v>
      </c>
      <c r="AF17" s="66" t="s">
        <v>337</v>
      </c>
      <c r="AG17" s="66" t="s">
        <v>337</v>
      </c>
      <c r="AH17" s="66" t="s">
        <v>337</v>
      </c>
      <c r="AI17" s="66" t="s">
        <v>337</v>
      </c>
      <c r="AJ17" s="66" t="s">
        <v>337</v>
      </c>
      <c r="AK17" s="66" t="s">
        <v>337</v>
      </c>
      <c r="AL17" s="66" t="s">
        <v>337</v>
      </c>
      <c r="AM17" s="66" t="s">
        <v>337</v>
      </c>
      <c r="AN17" s="66" t="s">
        <v>337</v>
      </c>
      <c r="AO17" s="66" t="s">
        <v>337</v>
      </c>
      <c r="AP17" s="66" t="s">
        <v>337</v>
      </c>
    </row>
    <row r="18" spans="1:42" s="59" customFormat="1" x14ac:dyDescent="0.25">
      <c r="A18" s="59" t="s">
        <v>242</v>
      </c>
      <c r="B18" s="59" t="s">
        <v>243</v>
      </c>
      <c r="C18" s="60" t="s">
        <v>12</v>
      </c>
      <c r="D18" s="61" t="s">
        <v>144</v>
      </c>
      <c r="E18" s="61">
        <v>0.4</v>
      </c>
      <c r="F18" s="61">
        <v>0.8</v>
      </c>
      <c r="G18" s="61"/>
      <c r="H18" s="61"/>
      <c r="I18" s="60" t="s">
        <v>244</v>
      </c>
      <c r="J18" s="61" t="s">
        <v>94</v>
      </c>
      <c r="K18" s="67">
        <v>0.57562396545223415</v>
      </c>
      <c r="L18" s="68" t="s">
        <v>245</v>
      </c>
      <c r="M18" s="68" t="s">
        <v>245</v>
      </c>
      <c r="N18" s="66" t="s">
        <v>245</v>
      </c>
      <c r="O18" s="66" t="s">
        <v>245</v>
      </c>
      <c r="P18" s="66" t="s">
        <v>245</v>
      </c>
      <c r="Q18" s="66" t="s">
        <v>245</v>
      </c>
      <c r="R18" s="66" t="s">
        <v>245</v>
      </c>
      <c r="S18" s="66" t="s">
        <v>245</v>
      </c>
      <c r="T18" s="66" t="s">
        <v>245</v>
      </c>
      <c r="U18" s="66" t="s">
        <v>245</v>
      </c>
      <c r="V18" s="66" t="s">
        <v>245</v>
      </c>
      <c r="W18" s="66" t="s">
        <v>245</v>
      </c>
      <c r="X18" s="66" t="s">
        <v>245</v>
      </c>
      <c r="Y18" s="66" t="s">
        <v>245</v>
      </c>
      <c r="Z18" s="66" t="s">
        <v>245</v>
      </c>
      <c r="AA18" s="66" t="s">
        <v>245</v>
      </c>
      <c r="AB18" s="66" t="s">
        <v>245</v>
      </c>
      <c r="AC18" s="66" t="s">
        <v>245</v>
      </c>
      <c r="AD18" s="66" t="s">
        <v>245</v>
      </c>
      <c r="AE18" s="66" t="s">
        <v>245</v>
      </c>
      <c r="AF18" s="66" t="s">
        <v>245</v>
      </c>
      <c r="AG18" s="66" t="s">
        <v>245</v>
      </c>
      <c r="AH18" s="66" t="s">
        <v>245</v>
      </c>
      <c r="AI18" s="66" t="s">
        <v>245</v>
      </c>
      <c r="AJ18" s="66" t="s">
        <v>245</v>
      </c>
      <c r="AK18" s="66" t="s">
        <v>245</v>
      </c>
      <c r="AL18" s="66" t="s">
        <v>245</v>
      </c>
      <c r="AM18" s="66" t="s">
        <v>245</v>
      </c>
      <c r="AN18" s="66" t="s">
        <v>245</v>
      </c>
      <c r="AO18" s="66" t="s">
        <v>245</v>
      </c>
      <c r="AP18" s="66" t="s">
        <v>245</v>
      </c>
    </row>
    <row r="19" spans="1:42" s="59" customFormat="1" x14ac:dyDescent="0.25">
      <c r="A19" s="59" t="s">
        <v>246</v>
      </c>
      <c r="B19" s="59" t="s">
        <v>247</v>
      </c>
      <c r="C19" s="60" t="s">
        <v>12</v>
      </c>
      <c r="D19" s="61" t="s">
        <v>146</v>
      </c>
      <c r="E19" s="61"/>
      <c r="F19" s="61"/>
      <c r="G19" s="61"/>
      <c r="H19" s="61"/>
      <c r="I19" s="60" t="s">
        <v>248</v>
      </c>
      <c r="J19" s="61" t="s">
        <v>94</v>
      </c>
      <c r="K19" s="63">
        <v>6425811.7829999998</v>
      </c>
      <c r="L19" s="66" t="s">
        <v>249</v>
      </c>
      <c r="M19" s="66" t="s">
        <v>249</v>
      </c>
      <c r="N19" s="66" t="s">
        <v>249</v>
      </c>
      <c r="O19" s="66" t="s">
        <v>249</v>
      </c>
      <c r="P19" s="66" t="s">
        <v>249</v>
      </c>
      <c r="Q19" s="66" t="s">
        <v>249</v>
      </c>
      <c r="R19" s="66" t="s">
        <v>249</v>
      </c>
      <c r="S19" s="66" t="s">
        <v>249</v>
      </c>
      <c r="T19" s="66" t="s">
        <v>249</v>
      </c>
      <c r="U19" s="66" t="s">
        <v>249</v>
      </c>
      <c r="V19" s="66" t="s">
        <v>249</v>
      </c>
      <c r="W19" s="66" t="s">
        <v>249</v>
      </c>
      <c r="X19" s="66" t="s">
        <v>249</v>
      </c>
      <c r="Y19" s="66" t="s">
        <v>249</v>
      </c>
      <c r="Z19" s="66" t="s">
        <v>249</v>
      </c>
      <c r="AA19" s="66" t="s">
        <v>249</v>
      </c>
      <c r="AB19" s="66" t="s">
        <v>249</v>
      </c>
      <c r="AC19" s="66" t="s">
        <v>249</v>
      </c>
      <c r="AD19" s="66" t="s">
        <v>249</v>
      </c>
      <c r="AE19" s="66" t="s">
        <v>249</v>
      </c>
      <c r="AF19" s="66" t="s">
        <v>249</v>
      </c>
      <c r="AG19" s="66" t="s">
        <v>249</v>
      </c>
      <c r="AH19" s="66" t="s">
        <v>249</v>
      </c>
      <c r="AI19" s="66" t="s">
        <v>249</v>
      </c>
      <c r="AJ19" s="66" t="s">
        <v>249</v>
      </c>
      <c r="AK19" s="66" t="s">
        <v>249</v>
      </c>
      <c r="AL19" s="66" t="s">
        <v>249</v>
      </c>
      <c r="AM19" s="66" t="s">
        <v>249</v>
      </c>
      <c r="AN19" s="66" t="s">
        <v>249</v>
      </c>
      <c r="AO19" s="66" t="s">
        <v>249</v>
      </c>
      <c r="AP19" s="66" t="s">
        <v>249</v>
      </c>
    </row>
    <row r="20" spans="1:42" s="59" customFormat="1" x14ac:dyDescent="0.25">
      <c r="A20" s="59" t="s">
        <v>338</v>
      </c>
      <c r="B20" s="59" t="s">
        <v>339</v>
      </c>
      <c r="C20" s="60" t="s">
        <v>12</v>
      </c>
      <c r="D20" s="61" t="s">
        <v>144</v>
      </c>
      <c r="E20" s="61">
        <v>0.01</v>
      </c>
      <c r="F20" s="61">
        <v>0.25</v>
      </c>
      <c r="G20" s="61"/>
      <c r="H20" s="61"/>
      <c r="I20" s="60" t="s">
        <v>238</v>
      </c>
      <c r="J20" s="61" t="s">
        <v>94</v>
      </c>
      <c r="K20" s="64">
        <v>8.5999999999999993E-2</v>
      </c>
      <c r="L20" s="64">
        <v>7.5999999999999998E-2</v>
      </c>
      <c r="M20" s="69" t="s">
        <v>340</v>
      </c>
      <c r="N20" s="66" t="s">
        <v>340</v>
      </c>
      <c r="O20" s="66" t="s">
        <v>340</v>
      </c>
      <c r="P20" s="66" t="s">
        <v>340</v>
      </c>
      <c r="Q20" s="66" t="s">
        <v>340</v>
      </c>
      <c r="R20" s="66" t="s">
        <v>340</v>
      </c>
      <c r="S20" s="66" t="s">
        <v>340</v>
      </c>
      <c r="T20" s="66" t="s">
        <v>340</v>
      </c>
      <c r="U20" s="66" t="s">
        <v>340</v>
      </c>
      <c r="V20" s="66" t="s">
        <v>340</v>
      </c>
      <c r="W20" s="66" t="s">
        <v>340</v>
      </c>
      <c r="X20" s="66" t="s">
        <v>340</v>
      </c>
      <c r="Y20" s="66" t="s">
        <v>340</v>
      </c>
      <c r="Z20" s="66" t="s">
        <v>340</v>
      </c>
      <c r="AA20" s="66" t="s">
        <v>340</v>
      </c>
      <c r="AB20" s="66" t="s">
        <v>340</v>
      </c>
      <c r="AC20" s="66" t="s">
        <v>340</v>
      </c>
      <c r="AD20" s="66" t="s">
        <v>340</v>
      </c>
      <c r="AE20" s="66" t="s">
        <v>340</v>
      </c>
      <c r="AF20" s="66" t="s">
        <v>340</v>
      </c>
      <c r="AG20" s="66" t="s">
        <v>340</v>
      </c>
      <c r="AH20" s="66" t="s">
        <v>340</v>
      </c>
      <c r="AI20" s="66" t="s">
        <v>340</v>
      </c>
      <c r="AJ20" s="66" t="s">
        <v>340</v>
      </c>
      <c r="AK20" s="66" t="s">
        <v>340</v>
      </c>
      <c r="AL20" s="66" t="s">
        <v>340</v>
      </c>
      <c r="AM20" s="66" t="s">
        <v>340</v>
      </c>
      <c r="AN20" s="66" t="s">
        <v>340</v>
      </c>
      <c r="AO20" s="66" t="s">
        <v>340</v>
      </c>
      <c r="AP20" s="66" t="s">
        <v>340</v>
      </c>
    </row>
    <row r="21" spans="1:42" s="59" customFormat="1" x14ac:dyDescent="0.25">
      <c r="A21" s="59" t="s">
        <v>341</v>
      </c>
      <c r="B21" s="59" t="s">
        <v>342</v>
      </c>
      <c r="C21" s="60" t="s">
        <v>12</v>
      </c>
      <c r="D21" s="61" t="s">
        <v>146</v>
      </c>
      <c r="E21" s="61"/>
      <c r="F21" s="61"/>
      <c r="G21" s="61"/>
      <c r="H21" s="61"/>
      <c r="I21" s="60" t="s">
        <v>343</v>
      </c>
      <c r="J21" s="61" t="s">
        <v>94</v>
      </c>
      <c r="K21" s="63">
        <v>5873191.9696620004</v>
      </c>
      <c r="L21" s="66" t="s">
        <v>344</v>
      </c>
      <c r="M21" s="66" t="s">
        <v>344</v>
      </c>
      <c r="N21" s="66" t="s">
        <v>344</v>
      </c>
      <c r="O21" s="66" t="s">
        <v>344</v>
      </c>
      <c r="P21" s="66" t="s">
        <v>344</v>
      </c>
      <c r="Q21" s="66" t="s">
        <v>344</v>
      </c>
      <c r="R21" s="66" t="s">
        <v>344</v>
      </c>
      <c r="S21" s="66" t="s">
        <v>344</v>
      </c>
      <c r="T21" s="66" t="s">
        <v>344</v>
      </c>
      <c r="U21" s="66" t="s">
        <v>344</v>
      </c>
      <c r="V21" s="66" t="s">
        <v>344</v>
      </c>
      <c r="W21" s="66" t="s">
        <v>344</v>
      </c>
      <c r="X21" s="66" t="s">
        <v>344</v>
      </c>
      <c r="Y21" s="66" t="s">
        <v>344</v>
      </c>
      <c r="Z21" s="66" t="s">
        <v>344</v>
      </c>
      <c r="AA21" s="66" t="s">
        <v>344</v>
      </c>
      <c r="AB21" s="66" t="s">
        <v>344</v>
      </c>
      <c r="AC21" s="66" t="s">
        <v>344</v>
      </c>
      <c r="AD21" s="66" t="s">
        <v>344</v>
      </c>
      <c r="AE21" s="66" t="s">
        <v>344</v>
      </c>
      <c r="AF21" s="66" t="s">
        <v>344</v>
      </c>
      <c r="AG21" s="66" t="s">
        <v>344</v>
      </c>
      <c r="AH21" s="66" t="s">
        <v>344</v>
      </c>
      <c r="AI21" s="66" t="s">
        <v>344</v>
      </c>
      <c r="AJ21" s="66" t="s">
        <v>344</v>
      </c>
      <c r="AK21" s="66" t="s">
        <v>344</v>
      </c>
      <c r="AL21" s="66" t="s">
        <v>344</v>
      </c>
      <c r="AM21" s="66" t="s">
        <v>344</v>
      </c>
      <c r="AN21" s="66" t="s">
        <v>344</v>
      </c>
      <c r="AO21" s="66" t="s">
        <v>344</v>
      </c>
      <c r="AP21" s="66" t="s">
        <v>344</v>
      </c>
    </row>
    <row r="22" spans="1:42" s="59" customFormat="1" x14ac:dyDescent="0.25">
      <c r="A22" s="59" t="s">
        <v>250</v>
      </c>
      <c r="B22" s="59" t="s">
        <v>251</v>
      </c>
      <c r="C22" s="60" t="s">
        <v>12</v>
      </c>
      <c r="D22" s="61" t="s">
        <v>144</v>
      </c>
      <c r="E22" s="61">
        <v>-0.01</v>
      </c>
      <c r="F22" s="61">
        <v>0.05</v>
      </c>
      <c r="G22" s="61"/>
      <c r="H22" s="61"/>
      <c r="I22" s="60" t="s">
        <v>238</v>
      </c>
      <c r="J22" s="61" t="s">
        <v>94</v>
      </c>
      <c r="K22" s="67">
        <v>9.1000000000000004E-3</v>
      </c>
      <c r="L22" s="67">
        <v>1.09E-2</v>
      </c>
      <c r="M22" s="66" t="s">
        <v>252</v>
      </c>
      <c r="N22" s="66" t="s">
        <v>252</v>
      </c>
      <c r="O22" s="66" t="s">
        <v>252</v>
      </c>
      <c r="P22" s="66" t="s">
        <v>252</v>
      </c>
      <c r="Q22" s="66" t="s">
        <v>252</v>
      </c>
      <c r="R22" s="66" t="s">
        <v>252</v>
      </c>
      <c r="S22" s="66" t="s">
        <v>252</v>
      </c>
      <c r="T22" s="66" t="s">
        <v>252</v>
      </c>
      <c r="U22" s="66" t="s">
        <v>252</v>
      </c>
      <c r="V22" s="66" t="s">
        <v>252</v>
      </c>
      <c r="W22" s="66" t="s">
        <v>252</v>
      </c>
      <c r="X22" s="66" t="s">
        <v>252</v>
      </c>
      <c r="Y22" s="66" t="s">
        <v>252</v>
      </c>
      <c r="Z22" s="66" t="s">
        <v>252</v>
      </c>
      <c r="AA22" s="66" t="s">
        <v>252</v>
      </c>
      <c r="AB22" s="66" t="s">
        <v>252</v>
      </c>
      <c r="AC22" s="66" t="s">
        <v>252</v>
      </c>
      <c r="AD22" s="66" t="s">
        <v>252</v>
      </c>
      <c r="AE22" s="66" t="s">
        <v>252</v>
      </c>
      <c r="AF22" s="66" t="s">
        <v>252</v>
      </c>
      <c r="AG22" s="66" t="s">
        <v>252</v>
      </c>
      <c r="AH22" s="66" t="s">
        <v>252</v>
      </c>
      <c r="AI22" s="66" t="s">
        <v>252</v>
      </c>
      <c r="AJ22" s="66" t="s">
        <v>252</v>
      </c>
      <c r="AK22" s="66" t="s">
        <v>252</v>
      </c>
      <c r="AL22" s="66" t="s">
        <v>252</v>
      </c>
      <c r="AM22" s="66" t="s">
        <v>252</v>
      </c>
      <c r="AN22" s="66" t="s">
        <v>252</v>
      </c>
      <c r="AO22" s="66" t="s">
        <v>252</v>
      </c>
      <c r="AP22" s="66" t="s">
        <v>252</v>
      </c>
    </row>
    <row r="23" spans="1:42" s="59" customFormat="1" x14ac:dyDescent="0.25">
      <c r="A23" s="37" t="s">
        <v>77</v>
      </c>
      <c r="B23" s="37" t="s">
        <v>78</v>
      </c>
      <c r="C23" s="60" t="s">
        <v>12</v>
      </c>
      <c r="D23" s="61" t="s">
        <v>144</v>
      </c>
      <c r="E23" s="61"/>
      <c r="F23" s="61"/>
      <c r="G23" s="61"/>
      <c r="H23" s="61"/>
      <c r="I23" s="60" t="s">
        <v>253</v>
      </c>
      <c r="J23" s="61" t="s">
        <v>94</v>
      </c>
      <c r="K23" s="70">
        <v>1.7999999999999999E-2</v>
      </c>
      <c r="L23" s="70">
        <v>1.7999999999999999E-2</v>
      </c>
      <c r="M23" s="71" t="s">
        <v>345</v>
      </c>
      <c r="N23" s="66" t="s">
        <v>345</v>
      </c>
      <c r="O23" s="66" t="s">
        <v>345</v>
      </c>
      <c r="P23" s="66" t="s">
        <v>345</v>
      </c>
      <c r="Q23" s="66" t="s">
        <v>345</v>
      </c>
      <c r="R23" s="66" t="s">
        <v>345</v>
      </c>
      <c r="S23" s="66" t="s">
        <v>345</v>
      </c>
      <c r="T23" s="66" t="s">
        <v>345</v>
      </c>
      <c r="U23" s="66" t="s">
        <v>345</v>
      </c>
      <c r="V23" s="66" t="s">
        <v>345</v>
      </c>
      <c r="W23" s="66" t="s">
        <v>345</v>
      </c>
      <c r="X23" s="66" t="s">
        <v>345</v>
      </c>
      <c r="Y23" s="66" t="s">
        <v>345</v>
      </c>
      <c r="Z23" s="66" t="s">
        <v>345</v>
      </c>
      <c r="AA23" s="66" t="s">
        <v>345</v>
      </c>
      <c r="AB23" s="66" t="s">
        <v>345</v>
      </c>
      <c r="AC23" s="66" t="s">
        <v>345</v>
      </c>
      <c r="AD23" s="66" t="s">
        <v>345</v>
      </c>
      <c r="AE23" s="66" t="s">
        <v>345</v>
      </c>
      <c r="AF23" s="66" t="s">
        <v>345</v>
      </c>
      <c r="AG23" s="66" t="s">
        <v>345</v>
      </c>
      <c r="AH23" s="66" t="s">
        <v>345</v>
      </c>
      <c r="AI23" s="66" t="s">
        <v>345</v>
      </c>
      <c r="AJ23" s="66" t="s">
        <v>345</v>
      </c>
      <c r="AK23" s="66" t="s">
        <v>345</v>
      </c>
      <c r="AL23" s="66" t="s">
        <v>345</v>
      </c>
      <c r="AM23" s="66" t="s">
        <v>345</v>
      </c>
      <c r="AN23" s="66" t="s">
        <v>345</v>
      </c>
      <c r="AO23" s="66" t="s">
        <v>345</v>
      </c>
      <c r="AP23" s="66" t="s">
        <v>345</v>
      </c>
    </row>
    <row r="24" spans="1:42" s="59" customFormat="1" x14ac:dyDescent="0.25">
      <c r="A24" s="37" t="s">
        <v>80</v>
      </c>
      <c r="B24" s="37" t="s">
        <v>79</v>
      </c>
      <c r="C24" s="60" t="s">
        <v>12</v>
      </c>
      <c r="D24" s="61" t="s">
        <v>145</v>
      </c>
      <c r="E24" s="61"/>
      <c r="F24" s="61"/>
      <c r="G24" s="61"/>
      <c r="H24" s="61"/>
      <c r="I24" s="60" t="s">
        <v>74</v>
      </c>
      <c r="J24" s="61" t="s">
        <v>94</v>
      </c>
      <c r="K24" s="63">
        <v>660563000000</v>
      </c>
      <c r="L24" s="46" t="s">
        <v>88</v>
      </c>
      <c r="M24" s="46" t="s">
        <v>88</v>
      </c>
      <c r="N24" s="66" t="s">
        <v>88</v>
      </c>
      <c r="O24" s="66" t="s">
        <v>88</v>
      </c>
      <c r="P24" s="66" t="s">
        <v>88</v>
      </c>
      <c r="Q24" s="66" t="s">
        <v>88</v>
      </c>
      <c r="R24" s="66" t="s">
        <v>88</v>
      </c>
      <c r="S24" s="66" t="s">
        <v>88</v>
      </c>
      <c r="T24" s="66" t="s">
        <v>88</v>
      </c>
      <c r="U24" s="66" t="s">
        <v>88</v>
      </c>
      <c r="V24" s="66" t="s">
        <v>88</v>
      </c>
      <c r="W24" s="66" t="s">
        <v>88</v>
      </c>
      <c r="X24" s="66" t="s">
        <v>88</v>
      </c>
      <c r="Y24" s="66" t="s">
        <v>88</v>
      </c>
      <c r="Z24" s="66" t="s">
        <v>88</v>
      </c>
      <c r="AA24" s="66" t="s">
        <v>88</v>
      </c>
      <c r="AB24" s="66" t="s">
        <v>88</v>
      </c>
      <c r="AC24" s="66" t="s">
        <v>88</v>
      </c>
      <c r="AD24" s="66" t="s">
        <v>88</v>
      </c>
      <c r="AE24" s="66" t="s">
        <v>88</v>
      </c>
      <c r="AF24" s="66" t="s">
        <v>88</v>
      </c>
      <c r="AG24" s="66" t="s">
        <v>88</v>
      </c>
      <c r="AH24" s="66" t="s">
        <v>88</v>
      </c>
      <c r="AI24" s="66" t="s">
        <v>88</v>
      </c>
      <c r="AJ24" s="66" t="s">
        <v>88</v>
      </c>
      <c r="AK24" s="66" t="s">
        <v>88</v>
      </c>
      <c r="AL24" s="66" t="s">
        <v>88</v>
      </c>
      <c r="AM24" s="66" t="s">
        <v>88</v>
      </c>
      <c r="AN24" s="66" t="s">
        <v>88</v>
      </c>
      <c r="AO24" s="66" t="s">
        <v>88</v>
      </c>
      <c r="AP24" s="66" t="s">
        <v>88</v>
      </c>
    </row>
    <row r="25" spans="1:42" s="5" customFormat="1" x14ac:dyDescent="0.25">
      <c r="A25" s="5" t="s">
        <v>19</v>
      </c>
      <c r="B25" s="5" t="s">
        <v>70</v>
      </c>
      <c r="C25" s="33" t="s">
        <v>12</v>
      </c>
      <c r="D25" s="34" t="s">
        <v>144</v>
      </c>
      <c r="E25" s="34"/>
      <c r="F25" s="34"/>
      <c r="G25" s="34"/>
      <c r="H25" s="34"/>
      <c r="I25" s="33" t="s">
        <v>254</v>
      </c>
      <c r="J25" s="34" t="s">
        <v>94</v>
      </c>
      <c r="K25" s="64">
        <v>3.3000000000000002E-2</v>
      </c>
      <c r="L25" s="64">
        <v>2.5000000000000001E-2</v>
      </c>
      <c r="M25" s="35" t="s">
        <v>255</v>
      </c>
      <c r="N25" s="66" t="s">
        <v>255</v>
      </c>
      <c r="O25" s="66" t="s">
        <v>255</v>
      </c>
      <c r="P25" s="66" t="s">
        <v>255</v>
      </c>
      <c r="Q25" s="66" t="s">
        <v>255</v>
      </c>
      <c r="R25" s="66" t="s">
        <v>255</v>
      </c>
      <c r="S25" s="66" t="s">
        <v>255</v>
      </c>
      <c r="T25" s="66" t="s">
        <v>255</v>
      </c>
      <c r="U25" s="66" t="s">
        <v>255</v>
      </c>
      <c r="V25" s="66" t="s">
        <v>255</v>
      </c>
      <c r="W25" s="66" t="s">
        <v>255</v>
      </c>
      <c r="X25" s="66" t="s">
        <v>255</v>
      </c>
      <c r="Y25" s="66" t="s">
        <v>255</v>
      </c>
      <c r="Z25" s="66" t="s">
        <v>255</v>
      </c>
      <c r="AA25" s="66" t="s">
        <v>255</v>
      </c>
      <c r="AB25" s="66" t="s">
        <v>255</v>
      </c>
      <c r="AC25" s="66" t="s">
        <v>255</v>
      </c>
      <c r="AD25" s="66" t="s">
        <v>255</v>
      </c>
      <c r="AE25" s="66" t="s">
        <v>255</v>
      </c>
      <c r="AF25" s="66" t="s">
        <v>255</v>
      </c>
      <c r="AG25" s="66" t="s">
        <v>255</v>
      </c>
      <c r="AH25" s="66" t="s">
        <v>255</v>
      </c>
      <c r="AI25" s="66" t="s">
        <v>255</v>
      </c>
      <c r="AJ25" s="66" t="s">
        <v>255</v>
      </c>
      <c r="AK25" s="66" t="s">
        <v>255</v>
      </c>
      <c r="AL25" s="66" t="s">
        <v>255</v>
      </c>
      <c r="AM25" s="66" t="s">
        <v>255</v>
      </c>
      <c r="AN25" s="66" t="s">
        <v>255</v>
      </c>
      <c r="AO25" s="66" t="s">
        <v>255</v>
      </c>
      <c r="AP25" s="66" t="s">
        <v>255</v>
      </c>
    </row>
    <row r="26" spans="1:42" x14ac:dyDescent="0.25">
      <c r="A26" s="37" t="s">
        <v>95</v>
      </c>
      <c r="B26" s="37" t="s">
        <v>96</v>
      </c>
      <c r="C26" s="60" t="s">
        <v>12</v>
      </c>
      <c r="D26" s="61" t="s">
        <v>143</v>
      </c>
      <c r="E26" s="61"/>
      <c r="F26" s="61"/>
      <c r="G26" s="61"/>
      <c r="H26" s="61"/>
      <c r="I26" s="60" t="s">
        <v>75</v>
      </c>
      <c r="J26" s="61" t="s">
        <v>94</v>
      </c>
      <c r="K26" s="63">
        <v>100</v>
      </c>
      <c r="L26" s="46" t="s">
        <v>97</v>
      </c>
      <c r="M26" s="46" t="s">
        <v>97</v>
      </c>
      <c r="N26" s="66" t="s">
        <v>97</v>
      </c>
      <c r="O26" s="66" t="s">
        <v>97</v>
      </c>
      <c r="P26" s="66" t="s">
        <v>97</v>
      </c>
      <c r="Q26" s="66" t="s">
        <v>97</v>
      </c>
      <c r="R26" s="66" t="s">
        <v>97</v>
      </c>
      <c r="S26" s="66" t="s">
        <v>97</v>
      </c>
      <c r="T26" s="66" t="s">
        <v>97</v>
      </c>
      <c r="U26" s="66" t="s">
        <v>97</v>
      </c>
      <c r="V26" s="66" t="s">
        <v>97</v>
      </c>
      <c r="W26" s="66" t="s">
        <v>97</v>
      </c>
      <c r="X26" s="66" t="s">
        <v>97</v>
      </c>
      <c r="Y26" s="66" t="s">
        <v>97</v>
      </c>
      <c r="Z26" s="66" t="s">
        <v>97</v>
      </c>
      <c r="AA26" s="66" t="s">
        <v>97</v>
      </c>
      <c r="AB26" s="66" t="s">
        <v>97</v>
      </c>
      <c r="AC26" s="66" t="s">
        <v>97</v>
      </c>
      <c r="AD26" s="66" t="s">
        <v>97</v>
      </c>
      <c r="AE26" s="66" t="s">
        <v>97</v>
      </c>
      <c r="AF26" s="66" t="s">
        <v>97</v>
      </c>
      <c r="AG26" s="66" t="s">
        <v>97</v>
      </c>
      <c r="AH26" s="66" t="s">
        <v>97</v>
      </c>
      <c r="AI26" s="66" t="s">
        <v>97</v>
      </c>
      <c r="AJ26" s="66" t="s">
        <v>97</v>
      </c>
      <c r="AK26" s="66" t="s">
        <v>97</v>
      </c>
      <c r="AL26" s="66" t="s">
        <v>97</v>
      </c>
      <c r="AM26" s="66" t="s">
        <v>97</v>
      </c>
      <c r="AN26" s="66" t="s">
        <v>97</v>
      </c>
      <c r="AO26" s="66" t="s">
        <v>97</v>
      </c>
      <c r="AP26" s="66" t="s">
        <v>97</v>
      </c>
    </row>
    <row r="27" spans="1:42" x14ac:dyDescent="0.25">
      <c r="A27" s="37" t="s">
        <v>15</v>
      </c>
      <c r="B27" s="37" t="s">
        <v>65</v>
      </c>
      <c r="C27" s="60" t="s">
        <v>12</v>
      </c>
      <c r="D27" s="61" t="s">
        <v>145</v>
      </c>
      <c r="E27" s="61"/>
      <c r="F27" s="61"/>
      <c r="G27" s="61"/>
      <c r="H27" s="61"/>
      <c r="I27" s="60" t="s">
        <v>81</v>
      </c>
      <c r="J27" s="61" t="s">
        <v>94</v>
      </c>
      <c r="K27" s="63">
        <v>660563000000</v>
      </c>
      <c r="L27" s="46" t="s">
        <v>90</v>
      </c>
      <c r="M27" s="46" t="s">
        <v>90</v>
      </c>
      <c r="N27" s="66" t="s">
        <v>90</v>
      </c>
      <c r="O27" s="66" t="s">
        <v>90</v>
      </c>
      <c r="P27" s="66" t="s">
        <v>90</v>
      </c>
      <c r="Q27" s="66" t="s">
        <v>90</v>
      </c>
      <c r="R27" s="66" t="s">
        <v>90</v>
      </c>
      <c r="S27" s="66" t="s">
        <v>90</v>
      </c>
      <c r="T27" s="66" t="s">
        <v>90</v>
      </c>
      <c r="U27" s="66" t="s">
        <v>90</v>
      </c>
      <c r="V27" s="66" t="s">
        <v>90</v>
      </c>
      <c r="W27" s="66" t="s">
        <v>90</v>
      </c>
      <c r="X27" s="66" t="s">
        <v>90</v>
      </c>
      <c r="Y27" s="66" t="s">
        <v>90</v>
      </c>
      <c r="Z27" s="66" t="s">
        <v>90</v>
      </c>
      <c r="AA27" s="66" t="s">
        <v>90</v>
      </c>
      <c r="AB27" s="66" t="s">
        <v>90</v>
      </c>
      <c r="AC27" s="66" t="s">
        <v>90</v>
      </c>
      <c r="AD27" s="66" t="s">
        <v>90</v>
      </c>
      <c r="AE27" s="66" t="s">
        <v>90</v>
      </c>
      <c r="AF27" s="66" t="s">
        <v>90</v>
      </c>
      <c r="AG27" s="66" t="s">
        <v>90</v>
      </c>
      <c r="AH27" s="66" t="s">
        <v>90</v>
      </c>
      <c r="AI27" s="66" t="s">
        <v>90</v>
      </c>
      <c r="AJ27" s="66" t="s">
        <v>90</v>
      </c>
      <c r="AK27" s="66" t="s">
        <v>90</v>
      </c>
      <c r="AL27" s="66" t="s">
        <v>90</v>
      </c>
      <c r="AM27" s="66" t="s">
        <v>90</v>
      </c>
      <c r="AN27" s="66" t="s">
        <v>90</v>
      </c>
      <c r="AO27" s="66" t="s">
        <v>90</v>
      </c>
      <c r="AP27" s="66" t="s">
        <v>90</v>
      </c>
    </row>
    <row r="28" spans="1:42" x14ac:dyDescent="0.25">
      <c r="A28" s="37" t="s">
        <v>71</v>
      </c>
      <c r="B28" s="37" t="s">
        <v>72</v>
      </c>
      <c r="C28" s="60" t="s">
        <v>12</v>
      </c>
      <c r="D28" s="61" t="s">
        <v>144</v>
      </c>
      <c r="E28" s="61"/>
      <c r="F28" s="61"/>
      <c r="G28" s="61"/>
      <c r="H28" s="61"/>
      <c r="I28" s="60" t="s">
        <v>105</v>
      </c>
      <c r="J28" s="61" t="s">
        <v>94</v>
      </c>
      <c r="K28" s="63">
        <v>0</v>
      </c>
      <c r="L28" s="46" t="s">
        <v>106</v>
      </c>
      <c r="M28" s="46" t="s">
        <v>346</v>
      </c>
      <c r="N28" s="66" t="s">
        <v>346</v>
      </c>
      <c r="O28" s="66" t="s">
        <v>346</v>
      </c>
      <c r="P28" s="66" t="s">
        <v>346</v>
      </c>
      <c r="Q28" s="66" t="s">
        <v>346</v>
      </c>
      <c r="R28" s="66" t="s">
        <v>346</v>
      </c>
      <c r="S28" s="66" t="s">
        <v>346</v>
      </c>
      <c r="T28" s="66" t="s">
        <v>346</v>
      </c>
      <c r="U28" s="66" t="s">
        <v>346</v>
      </c>
      <c r="V28" s="66" t="s">
        <v>346</v>
      </c>
      <c r="W28" s="66" t="s">
        <v>346</v>
      </c>
      <c r="X28" s="66" t="s">
        <v>346</v>
      </c>
      <c r="Y28" s="66" t="s">
        <v>346</v>
      </c>
      <c r="Z28" s="66" t="s">
        <v>346</v>
      </c>
      <c r="AA28" s="66" t="s">
        <v>346</v>
      </c>
      <c r="AB28" s="66" t="s">
        <v>346</v>
      </c>
      <c r="AC28" s="66" t="s">
        <v>346</v>
      </c>
      <c r="AD28" s="66" t="s">
        <v>346</v>
      </c>
      <c r="AE28" s="66" t="s">
        <v>346</v>
      </c>
      <c r="AF28" s="66" t="s">
        <v>346</v>
      </c>
      <c r="AG28" s="66" t="s">
        <v>346</v>
      </c>
      <c r="AH28" s="66" t="s">
        <v>346</v>
      </c>
      <c r="AI28" s="66" t="s">
        <v>346</v>
      </c>
      <c r="AJ28" s="66" t="s">
        <v>346</v>
      </c>
      <c r="AK28" s="66" t="s">
        <v>346</v>
      </c>
      <c r="AL28" s="66" t="s">
        <v>346</v>
      </c>
      <c r="AM28" s="66" t="s">
        <v>346</v>
      </c>
      <c r="AN28" s="66" t="s">
        <v>346</v>
      </c>
      <c r="AO28" s="66" t="s">
        <v>346</v>
      </c>
      <c r="AP28" s="66" t="s">
        <v>346</v>
      </c>
    </row>
    <row r="29" spans="1:42" x14ac:dyDescent="0.25">
      <c r="A29" s="37" t="s">
        <v>82</v>
      </c>
      <c r="B29" s="37" t="s">
        <v>73</v>
      </c>
      <c r="C29" s="60" t="s">
        <v>12</v>
      </c>
      <c r="D29" s="61" t="s">
        <v>143</v>
      </c>
      <c r="E29" s="61"/>
      <c r="F29" s="61"/>
      <c r="G29" s="61"/>
      <c r="H29" s="61"/>
      <c r="I29" s="60" t="s">
        <v>76</v>
      </c>
      <c r="J29" s="61" t="s">
        <v>94</v>
      </c>
      <c r="K29" s="63">
        <v>100</v>
      </c>
      <c r="L29" s="46" t="s">
        <v>89</v>
      </c>
      <c r="M29" s="46" t="s">
        <v>89</v>
      </c>
      <c r="N29" s="66" t="s">
        <v>89</v>
      </c>
      <c r="O29" s="66" t="s">
        <v>89</v>
      </c>
      <c r="P29" s="66" t="s">
        <v>89</v>
      </c>
      <c r="Q29" s="66" t="s">
        <v>89</v>
      </c>
      <c r="R29" s="66" t="s">
        <v>89</v>
      </c>
      <c r="S29" s="66" t="s">
        <v>89</v>
      </c>
      <c r="T29" s="66" t="s">
        <v>89</v>
      </c>
      <c r="U29" s="66" t="s">
        <v>89</v>
      </c>
      <c r="V29" s="66" t="s">
        <v>89</v>
      </c>
      <c r="W29" s="66" t="s">
        <v>89</v>
      </c>
      <c r="X29" s="66" t="s">
        <v>89</v>
      </c>
      <c r="Y29" s="66" t="s">
        <v>89</v>
      </c>
      <c r="Z29" s="66" t="s">
        <v>89</v>
      </c>
      <c r="AA29" s="66" t="s">
        <v>89</v>
      </c>
      <c r="AB29" s="66" t="s">
        <v>89</v>
      </c>
      <c r="AC29" s="66" t="s">
        <v>89</v>
      </c>
      <c r="AD29" s="66" t="s">
        <v>89</v>
      </c>
      <c r="AE29" s="66" t="s">
        <v>89</v>
      </c>
      <c r="AF29" s="66" t="s">
        <v>89</v>
      </c>
      <c r="AG29" s="66" t="s">
        <v>89</v>
      </c>
      <c r="AH29" s="66" t="s">
        <v>89</v>
      </c>
      <c r="AI29" s="66" t="s">
        <v>89</v>
      </c>
      <c r="AJ29" s="66" t="s">
        <v>89</v>
      </c>
      <c r="AK29" s="66" t="s">
        <v>89</v>
      </c>
      <c r="AL29" s="66" t="s">
        <v>89</v>
      </c>
      <c r="AM29" s="66" t="s">
        <v>89</v>
      </c>
      <c r="AN29" s="66" t="s">
        <v>89</v>
      </c>
      <c r="AO29" s="66" t="s">
        <v>89</v>
      </c>
      <c r="AP29" s="66" t="s">
        <v>89</v>
      </c>
    </row>
    <row r="30" spans="1:42" x14ac:dyDescent="0.25">
      <c r="A30" s="37" t="s">
        <v>256</v>
      </c>
      <c r="B30" s="37" t="s">
        <v>257</v>
      </c>
      <c r="C30" s="60" t="s">
        <v>12</v>
      </c>
      <c r="D30" s="61" t="s">
        <v>258</v>
      </c>
      <c r="E30" s="61">
        <v>10</v>
      </c>
      <c r="F30" s="61"/>
      <c r="G30" s="61"/>
      <c r="H30" s="61"/>
      <c r="I30" s="60" t="s">
        <v>238</v>
      </c>
      <c r="J30" s="61" t="s">
        <v>94</v>
      </c>
      <c r="K30" s="70">
        <v>73.69</v>
      </c>
      <c r="L30" s="70">
        <v>87.33</v>
      </c>
      <c r="M30" s="46" t="s">
        <v>259</v>
      </c>
      <c r="N30" s="66" t="s">
        <v>259</v>
      </c>
      <c r="O30" s="66" t="s">
        <v>259</v>
      </c>
      <c r="P30" s="66" t="s">
        <v>259</v>
      </c>
      <c r="Q30" s="66" t="s">
        <v>259</v>
      </c>
      <c r="R30" s="66" t="s">
        <v>259</v>
      </c>
      <c r="S30" s="66" t="s">
        <v>259</v>
      </c>
      <c r="T30" s="66" t="s">
        <v>259</v>
      </c>
      <c r="U30" s="66" t="s">
        <v>259</v>
      </c>
      <c r="V30" s="66" t="s">
        <v>259</v>
      </c>
      <c r="W30" s="66" t="s">
        <v>259</v>
      </c>
      <c r="X30" s="66" t="s">
        <v>259</v>
      </c>
      <c r="Y30" s="66" t="s">
        <v>259</v>
      </c>
      <c r="Z30" s="66" t="s">
        <v>259</v>
      </c>
      <c r="AA30" s="66" t="s">
        <v>259</v>
      </c>
      <c r="AB30" s="66" t="s">
        <v>259</v>
      </c>
      <c r="AC30" s="66" t="s">
        <v>259</v>
      </c>
      <c r="AD30" s="66" t="s">
        <v>259</v>
      </c>
      <c r="AE30" s="66" t="s">
        <v>259</v>
      </c>
      <c r="AF30" s="66" t="s">
        <v>259</v>
      </c>
      <c r="AG30" s="66" t="s">
        <v>259</v>
      </c>
      <c r="AH30" s="66" t="s">
        <v>259</v>
      </c>
      <c r="AI30" s="66" t="s">
        <v>259</v>
      </c>
      <c r="AJ30" s="66" t="s">
        <v>259</v>
      </c>
      <c r="AK30" s="66" t="s">
        <v>259</v>
      </c>
      <c r="AL30" s="66" t="s">
        <v>259</v>
      </c>
      <c r="AM30" s="66" t="s">
        <v>259</v>
      </c>
      <c r="AN30" s="66" t="s">
        <v>259</v>
      </c>
      <c r="AO30" s="66" t="s">
        <v>259</v>
      </c>
      <c r="AP30" s="66" t="s">
        <v>259</v>
      </c>
    </row>
    <row r="31" spans="1:42" x14ac:dyDescent="0.25">
      <c r="A31" s="37" t="s">
        <v>260</v>
      </c>
      <c r="B31" s="37" t="s">
        <v>261</v>
      </c>
      <c r="C31" s="60" t="s">
        <v>12</v>
      </c>
      <c r="D31" s="61" t="s">
        <v>258</v>
      </c>
      <c r="E31" s="61"/>
      <c r="F31" s="61"/>
      <c r="G31" s="61"/>
      <c r="H31" s="61"/>
      <c r="I31" s="60" t="s">
        <v>262</v>
      </c>
      <c r="J31" s="61" t="s">
        <v>94</v>
      </c>
      <c r="K31" s="70">
        <v>73.69</v>
      </c>
      <c r="L31" s="46" t="s">
        <v>263</v>
      </c>
      <c r="M31" s="46" t="s">
        <v>263</v>
      </c>
      <c r="N31" s="66" t="s">
        <v>263</v>
      </c>
      <c r="O31" s="66" t="s">
        <v>263</v>
      </c>
      <c r="P31" s="66" t="s">
        <v>263</v>
      </c>
      <c r="Q31" s="66" t="s">
        <v>263</v>
      </c>
      <c r="R31" s="66" t="s">
        <v>263</v>
      </c>
      <c r="S31" s="66" t="s">
        <v>263</v>
      </c>
      <c r="T31" s="66" t="s">
        <v>263</v>
      </c>
      <c r="U31" s="66" t="s">
        <v>263</v>
      </c>
      <c r="V31" s="66" t="s">
        <v>263</v>
      </c>
      <c r="W31" s="66" t="s">
        <v>263</v>
      </c>
      <c r="X31" s="66" t="s">
        <v>263</v>
      </c>
      <c r="Y31" s="66" t="s">
        <v>263</v>
      </c>
      <c r="Z31" s="66" t="s">
        <v>263</v>
      </c>
      <c r="AA31" s="66" t="s">
        <v>263</v>
      </c>
      <c r="AB31" s="66" t="s">
        <v>263</v>
      </c>
      <c r="AC31" s="66" t="s">
        <v>263</v>
      </c>
      <c r="AD31" s="66" t="s">
        <v>263</v>
      </c>
      <c r="AE31" s="66" t="s">
        <v>263</v>
      </c>
      <c r="AF31" s="66" t="s">
        <v>263</v>
      </c>
      <c r="AG31" s="66" t="s">
        <v>263</v>
      </c>
      <c r="AH31" s="66" t="s">
        <v>263</v>
      </c>
      <c r="AI31" s="66" t="s">
        <v>263</v>
      </c>
      <c r="AJ31" s="66" t="s">
        <v>263</v>
      </c>
      <c r="AK31" s="66" t="s">
        <v>263</v>
      </c>
      <c r="AL31" s="66" t="s">
        <v>263</v>
      </c>
      <c r="AM31" s="66" t="s">
        <v>263</v>
      </c>
      <c r="AN31" s="66" t="s">
        <v>263</v>
      </c>
      <c r="AO31" s="66" t="s">
        <v>263</v>
      </c>
      <c r="AP31" s="66" t="s">
        <v>263</v>
      </c>
    </row>
    <row r="32" spans="1:42" x14ac:dyDescent="0.25">
      <c r="A32" s="37" t="s">
        <v>347</v>
      </c>
      <c r="B32" s="37" t="s">
        <v>348</v>
      </c>
      <c r="C32" s="60" t="s">
        <v>12</v>
      </c>
      <c r="D32" s="61" t="s">
        <v>258</v>
      </c>
      <c r="E32" s="61">
        <v>100</v>
      </c>
      <c r="F32" s="61"/>
      <c r="G32" s="61"/>
      <c r="H32" s="61"/>
      <c r="I32" s="60" t="s">
        <v>238</v>
      </c>
      <c r="J32" s="61" t="s">
        <v>94</v>
      </c>
      <c r="K32" s="72">
        <v>1263.18</v>
      </c>
      <c r="L32" s="72">
        <v>1571.52</v>
      </c>
      <c r="M32" s="71" t="s">
        <v>349</v>
      </c>
      <c r="N32" s="66" t="s">
        <v>349</v>
      </c>
      <c r="O32" s="66" t="s">
        <v>349</v>
      </c>
      <c r="P32" s="66" t="s">
        <v>349</v>
      </c>
      <c r="Q32" s="66" t="s">
        <v>349</v>
      </c>
      <c r="R32" s="66" t="s">
        <v>349</v>
      </c>
      <c r="S32" s="66" t="s">
        <v>349</v>
      </c>
      <c r="T32" s="66" t="s">
        <v>349</v>
      </c>
      <c r="U32" s="66" t="s">
        <v>349</v>
      </c>
      <c r="V32" s="66" t="s">
        <v>349</v>
      </c>
      <c r="W32" s="66" t="s">
        <v>349</v>
      </c>
      <c r="X32" s="66" t="s">
        <v>349</v>
      </c>
      <c r="Y32" s="66" t="s">
        <v>349</v>
      </c>
      <c r="Z32" s="66" t="s">
        <v>349</v>
      </c>
      <c r="AA32" s="66" t="s">
        <v>349</v>
      </c>
      <c r="AB32" s="66" t="s">
        <v>349</v>
      </c>
      <c r="AC32" s="66" t="s">
        <v>349</v>
      </c>
      <c r="AD32" s="66" t="s">
        <v>349</v>
      </c>
      <c r="AE32" s="66" t="s">
        <v>349</v>
      </c>
      <c r="AF32" s="66" t="s">
        <v>349</v>
      </c>
      <c r="AG32" s="66" t="s">
        <v>349</v>
      </c>
      <c r="AH32" s="66" t="s">
        <v>349</v>
      </c>
      <c r="AI32" s="66" t="s">
        <v>349</v>
      </c>
      <c r="AJ32" s="66" t="s">
        <v>349</v>
      </c>
      <c r="AK32" s="66" t="s">
        <v>349</v>
      </c>
      <c r="AL32" s="66" t="s">
        <v>349</v>
      </c>
      <c r="AM32" s="66" t="s">
        <v>349</v>
      </c>
      <c r="AN32" s="66" t="s">
        <v>349</v>
      </c>
      <c r="AO32" s="66" t="s">
        <v>349</v>
      </c>
      <c r="AP32" s="66" t="s">
        <v>349</v>
      </c>
    </row>
    <row r="33" spans="1:42" x14ac:dyDescent="0.25">
      <c r="A33" s="37" t="s">
        <v>350</v>
      </c>
      <c r="B33" s="37" t="s">
        <v>351</v>
      </c>
      <c r="C33" s="60" t="s">
        <v>12</v>
      </c>
      <c r="D33" s="61" t="s">
        <v>258</v>
      </c>
      <c r="E33" s="61"/>
      <c r="F33" s="61"/>
      <c r="G33" s="61"/>
      <c r="H33" s="61"/>
      <c r="I33" s="60" t="s">
        <v>264</v>
      </c>
      <c r="J33" s="61" t="s">
        <v>94</v>
      </c>
      <c r="K33" s="72">
        <v>73.69</v>
      </c>
      <c r="L33" s="46" t="s">
        <v>352</v>
      </c>
      <c r="M33" s="46" t="s">
        <v>352</v>
      </c>
      <c r="N33" s="66" t="s">
        <v>352</v>
      </c>
      <c r="O33" s="66" t="s">
        <v>352</v>
      </c>
      <c r="P33" s="66" t="s">
        <v>352</v>
      </c>
      <c r="Q33" s="66" t="s">
        <v>352</v>
      </c>
      <c r="R33" s="66" t="s">
        <v>352</v>
      </c>
      <c r="S33" s="66" t="s">
        <v>352</v>
      </c>
      <c r="T33" s="66" t="s">
        <v>352</v>
      </c>
      <c r="U33" s="66" t="s">
        <v>352</v>
      </c>
      <c r="V33" s="66" t="s">
        <v>352</v>
      </c>
      <c r="W33" s="66" t="s">
        <v>352</v>
      </c>
      <c r="X33" s="66" t="s">
        <v>352</v>
      </c>
      <c r="Y33" s="66" t="s">
        <v>352</v>
      </c>
      <c r="Z33" s="66" t="s">
        <v>352</v>
      </c>
      <c r="AA33" s="66" t="s">
        <v>352</v>
      </c>
      <c r="AB33" s="66" t="s">
        <v>352</v>
      </c>
      <c r="AC33" s="66" t="s">
        <v>352</v>
      </c>
      <c r="AD33" s="66" t="s">
        <v>352</v>
      </c>
      <c r="AE33" s="66" t="s">
        <v>352</v>
      </c>
      <c r="AF33" s="66" t="s">
        <v>352</v>
      </c>
      <c r="AG33" s="66" t="s">
        <v>352</v>
      </c>
      <c r="AH33" s="66" t="s">
        <v>352</v>
      </c>
      <c r="AI33" s="66" t="s">
        <v>352</v>
      </c>
      <c r="AJ33" s="66" t="s">
        <v>352</v>
      </c>
      <c r="AK33" s="66" t="s">
        <v>352</v>
      </c>
      <c r="AL33" s="66" t="s">
        <v>352</v>
      </c>
      <c r="AM33" s="66" t="s">
        <v>352</v>
      </c>
      <c r="AN33" s="66" t="s">
        <v>352</v>
      </c>
      <c r="AO33" s="66" t="s">
        <v>352</v>
      </c>
      <c r="AP33" s="66" t="s">
        <v>352</v>
      </c>
    </row>
    <row r="34" spans="1:42" x14ac:dyDescent="0.25">
      <c r="A34" s="37" t="s">
        <v>131</v>
      </c>
      <c r="B34" s="37" t="s">
        <v>132</v>
      </c>
      <c r="C34" s="60" t="s">
        <v>12</v>
      </c>
      <c r="D34" s="61" t="s">
        <v>144</v>
      </c>
      <c r="E34" s="61">
        <v>0.01</v>
      </c>
      <c r="F34" s="61"/>
      <c r="G34" s="61"/>
      <c r="H34" s="61"/>
      <c r="I34" s="60" t="s">
        <v>133</v>
      </c>
      <c r="J34" s="61" t="s">
        <v>94</v>
      </c>
      <c r="K34" s="64">
        <v>3.1E-2</v>
      </c>
      <c r="L34" s="71" t="s">
        <v>353</v>
      </c>
      <c r="M34" s="71" t="s">
        <v>353</v>
      </c>
      <c r="N34" s="71" t="s">
        <v>353</v>
      </c>
      <c r="O34" s="71" t="s">
        <v>353</v>
      </c>
      <c r="P34" s="71" t="s">
        <v>353</v>
      </c>
      <c r="Q34" s="71" t="s">
        <v>353</v>
      </c>
      <c r="R34" s="71" t="s">
        <v>353</v>
      </c>
      <c r="S34" s="71" t="s">
        <v>353</v>
      </c>
      <c r="T34" s="71" t="s">
        <v>353</v>
      </c>
      <c r="U34" s="71" t="s">
        <v>353</v>
      </c>
      <c r="V34" s="71" t="s">
        <v>353</v>
      </c>
      <c r="W34" s="71" t="s">
        <v>353</v>
      </c>
      <c r="X34" s="71" t="s">
        <v>353</v>
      </c>
      <c r="Y34" s="71" t="s">
        <v>353</v>
      </c>
      <c r="Z34" s="71" t="s">
        <v>353</v>
      </c>
      <c r="AA34" s="71" t="s">
        <v>353</v>
      </c>
      <c r="AB34" s="71" t="s">
        <v>353</v>
      </c>
      <c r="AC34" s="71" t="s">
        <v>353</v>
      </c>
      <c r="AD34" s="71" t="s">
        <v>353</v>
      </c>
      <c r="AE34" s="71" t="s">
        <v>353</v>
      </c>
      <c r="AF34" s="71" t="s">
        <v>353</v>
      </c>
      <c r="AG34" s="71" t="s">
        <v>353</v>
      </c>
      <c r="AH34" s="71" t="s">
        <v>353</v>
      </c>
      <c r="AI34" s="71" t="s">
        <v>353</v>
      </c>
      <c r="AJ34" s="71" t="s">
        <v>353</v>
      </c>
      <c r="AK34" s="71" t="s">
        <v>353</v>
      </c>
      <c r="AL34" s="71" t="s">
        <v>353</v>
      </c>
      <c r="AM34" s="71" t="s">
        <v>353</v>
      </c>
      <c r="AN34" s="71" t="s">
        <v>353</v>
      </c>
      <c r="AO34" s="71" t="s">
        <v>353</v>
      </c>
      <c r="AP34" s="71" t="s">
        <v>353</v>
      </c>
    </row>
    <row r="35" spans="1:42" x14ac:dyDescent="0.25">
      <c r="A35" s="37" t="s">
        <v>139</v>
      </c>
      <c r="B35" s="37" t="s">
        <v>140</v>
      </c>
      <c r="C35" s="60" t="s">
        <v>12</v>
      </c>
      <c r="D35" s="61" t="s">
        <v>144</v>
      </c>
      <c r="E35" s="61"/>
      <c r="F35" s="61"/>
      <c r="G35" s="61"/>
      <c r="H35" s="61"/>
      <c r="I35" s="60" t="s">
        <v>134</v>
      </c>
      <c r="J35" s="61" t="s">
        <v>94</v>
      </c>
      <c r="K35" s="67">
        <v>0.1077</v>
      </c>
      <c r="L35" s="73">
        <v>0.1077</v>
      </c>
      <c r="M35" s="74">
        <v>0.1077</v>
      </c>
      <c r="N35" s="73">
        <v>0.1077</v>
      </c>
      <c r="O35" s="73">
        <v>0.1077</v>
      </c>
      <c r="P35" s="73">
        <v>0.1077</v>
      </c>
      <c r="Q35" s="73">
        <v>0.1077</v>
      </c>
      <c r="R35" s="73">
        <v>0.1077</v>
      </c>
      <c r="S35" s="73">
        <v>0.1077</v>
      </c>
      <c r="T35" s="73">
        <v>0.1077</v>
      </c>
      <c r="U35" s="73">
        <v>0.1077</v>
      </c>
      <c r="V35" s="73">
        <v>0.1077</v>
      </c>
      <c r="W35" s="73">
        <v>0.1077</v>
      </c>
      <c r="X35" s="73">
        <v>0.1077</v>
      </c>
      <c r="Y35" s="73">
        <v>0.1077</v>
      </c>
      <c r="Z35" s="73">
        <v>0.1077</v>
      </c>
      <c r="AA35" s="73">
        <v>0.1077</v>
      </c>
      <c r="AB35" s="73">
        <v>0.1077</v>
      </c>
      <c r="AC35" s="73">
        <v>0.1077</v>
      </c>
      <c r="AD35" s="73">
        <v>0.1077</v>
      </c>
      <c r="AE35" s="73">
        <v>0.1077</v>
      </c>
      <c r="AF35" s="73">
        <v>0.1077</v>
      </c>
      <c r="AG35" s="73">
        <v>0.1077</v>
      </c>
      <c r="AH35" s="73">
        <v>0.1077</v>
      </c>
      <c r="AI35" s="73">
        <v>0.1077</v>
      </c>
      <c r="AJ35" s="73">
        <v>0.1077</v>
      </c>
      <c r="AK35" s="73">
        <v>0.1077</v>
      </c>
      <c r="AL35" s="73">
        <v>0.1077</v>
      </c>
      <c r="AM35" s="73">
        <v>0.1077</v>
      </c>
      <c r="AN35" s="73">
        <v>0.1077</v>
      </c>
      <c r="AO35" s="73">
        <v>0.1077</v>
      </c>
      <c r="AP35" s="73">
        <v>0.1077</v>
      </c>
    </row>
    <row r="36" spans="1:42" x14ac:dyDescent="0.25">
      <c r="A36" s="37" t="s">
        <v>135</v>
      </c>
      <c r="B36" s="37" t="s">
        <v>137</v>
      </c>
      <c r="C36" s="37" t="s">
        <v>12</v>
      </c>
      <c r="D36" s="61" t="s">
        <v>144</v>
      </c>
      <c r="E36" s="46">
        <v>0.01</v>
      </c>
      <c r="F36" s="46">
        <v>0.2</v>
      </c>
      <c r="G36" s="46"/>
      <c r="H36" s="46"/>
      <c r="I36" s="75" t="s">
        <v>138</v>
      </c>
      <c r="J36" s="61" t="s">
        <v>94</v>
      </c>
      <c r="K36" s="67">
        <v>4.0099999999999997E-2</v>
      </c>
      <c r="L36" s="71" t="s">
        <v>141</v>
      </c>
      <c r="M36" s="71" t="s">
        <v>141</v>
      </c>
      <c r="N36" s="66" t="s">
        <v>141</v>
      </c>
      <c r="O36" s="66" t="s">
        <v>141</v>
      </c>
      <c r="P36" s="66" t="s">
        <v>141</v>
      </c>
      <c r="Q36" s="66" t="s">
        <v>141</v>
      </c>
      <c r="R36" s="66" t="s">
        <v>141</v>
      </c>
      <c r="S36" s="66" t="s">
        <v>141</v>
      </c>
      <c r="T36" s="66" t="s">
        <v>141</v>
      </c>
      <c r="U36" s="66" t="s">
        <v>141</v>
      </c>
      <c r="V36" s="66" t="s">
        <v>141</v>
      </c>
      <c r="W36" s="66" t="s">
        <v>141</v>
      </c>
      <c r="X36" s="66" t="s">
        <v>141</v>
      </c>
      <c r="Y36" s="66" t="s">
        <v>141</v>
      </c>
      <c r="Z36" s="66" t="s">
        <v>141</v>
      </c>
      <c r="AA36" s="66" t="s">
        <v>141</v>
      </c>
      <c r="AB36" s="66" t="s">
        <v>141</v>
      </c>
      <c r="AC36" s="66" t="s">
        <v>141</v>
      </c>
      <c r="AD36" s="66" t="s">
        <v>141</v>
      </c>
      <c r="AE36" s="66" t="s">
        <v>141</v>
      </c>
      <c r="AF36" s="66" t="s">
        <v>141</v>
      </c>
      <c r="AG36" s="66" t="s">
        <v>141</v>
      </c>
      <c r="AH36" s="66" t="s">
        <v>141</v>
      </c>
      <c r="AI36" s="66" t="s">
        <v>141</v>
      </c>
      <c r="AJ36" s="66" t="s">
        <v>141</v>
      </c>
      <c r="AK36" s="66" t="s">
        <v>141</v>
      </c>
      <c r="AL36" s="66" t="s">
        <v>141</v>
      </c>
      <c r="AM36" s="66" t="s">
        <v>141</v>
      </c>
      <c r="AN36" s="66" t="s">
        <v>141</v>
      </c>
      <c r="AO36" s="66" t="s">
        <v>141</v>
      </c>
      <c r="AP36" s="66" t="s">
        <v>141</v>
      </c>
    </row>
    <row r="37" spans="1:42" x14ac:dyDescent="0.25">
      <c r="A37" s="37" t="s">
        <v>107</v>
      </c>
      <c r="B37" s="37" t="s">
        <v>108</v>
      </c>
      <c r="C37" s="60" t="s">
        <v>11</v>
      </c>
      <c r="D37" s="61" t="s">
        <v>145</v>
      </c>
      <c r="E37" s="46"/>
      <c r="F37" s="46"/>
      <c r="G37" s="46"/>
      <c r="H37" s="46"/>
      <c r="I37" s="75" t="s">
        <v>109</v>
      </c>
      <c r="J37" s="61" t="s">
        <v>94</v>
      </c>
      <c r="K37" s="63">
        <v>23041000000</v>
      </c>
      <c r="L37" s="46">
        <v>21359000000</v>
      </c>
      <c r="M37" s="46" t="s">
        <v>110</v>
      </c>
      <c r="N37" s="66" t="s">
        <v>110</v>
      </c>
      <c r="O37" s="66" t="s">
        <v>110</v>
      </c>
      <c r="P37" s="66" t="s">
        <v>110</v>
      </c>
      <c r="Q37" s="66" t="s">
        <v>110</v>
      </c>
      <c r="R37" s="66" t="s">
        <v>110</v>
      </c>
      <c r="S37" s="66" t="s">
        <v>110</v>
      </c>
      <c r="T37" s="66" t="s">
        <v>110</v>
      </c>
      <c r="U37" s="66" t="s">
        <v>110</v>
      </c>
      <c r="V37" s="66" t="s">
        <v>110</v>
      </c>
      <c r="W37" s="66" t="s">
        <v>110</v>
      </c>
      <c r="X37" s="66" t="s">
        <v>110</v>
      </c>
      <c r="Y37" s="66" t="s">
        <v>110</v>
      </c>
      <c r="Z37" s="66" t="s">
        <v>110</v>
      </c>
      <c r="AA37" s="66" t="s">
        <v>110</v>
      </c>
      <c r="AB37" s="66" t="s">
        <v>110</v>
      </c>
      <c r="AC37" s="66" t="s">
        <v>110</v>
      </c>
      <c r="AD37" s="66" t="s">
        <v>110</v>
      </c>
      <c r="AE37" s="66" t="s">
        <v>110</v>
      </c>
      <c r="AF37" s="66" t="s">
        <v>110</v>
      </c>
      <c r="AG37" s="66" t="s">
        <v>110</v>
      </c>
      <c r="AH37" s="66" t="s">
        <v>110</v>
      </c>
      <c r="AI37" s="66" t="s">
        <v>110</v>
      </c>
      <c r="AJ37" s="66" t="s">
        <v>110</v>
      </c>
      <c r="AK37" s="66" t="s">
        <v>110</v>
      </c>
      <c r="AL37" s="66" t="s">
        <v>110</v>
      </c>
      <c r="AM37" s="66" t="s">
        <v>110</v>
      </c>
      <c r="AN37" s="66" t="s">
        <v>110</v>
      </c>
      <c r="AO37" s="66" t="s">
        <v>110</v>
      </c>
      <c r="AP37" s="66" t="s">
        <v>110</v>
      </c>
    </row>
    <row r="38" spans="1:42" x14ac:dyDescent="0.25">
      <c r="A38" s="37" t="s">
        <v>98</v>
      </c>
      <c r="B38" s="37" t="s">
        <v>99</v>
      </c>
      <c r="C38" s="37" t="s">
        <v>11</v>
      </c>
      <c r="D38" s="61" t="s">
        <v>145</v>
      </c>
      <c r="E38" s="46"/>
      <c r="F38" s="46"/>
      <c r="G38" s="46"/>
      <c r="H38" s="46"/>
      <c r="I38" s="75" t="s">
        <v>109</v>
      </c>
      <c r="J38" s="61" t="s">
        <v>94</v>
      </c>
      <c r="K38" s="63">
        <v>23711000000</v>
      </c>
      <c r="L38" s="46">
        <v>24222000000</v>
      </c>
      <c r="M38" s="46" t="s">
        <v>111</v>
      </c>
      <c r="N38" s="66" t="s">
        <v>111</v>
      </c>
      <c r="O38" s="66" t="s">
        <v>111</v>
      </c>
      <c r="P38" s="66" t="s">
        <v>111</v>
      </c>
      <c r="Q38" s="66" t="s">
        <v>111</v>
      </c>
      <c r="R38" s="66" t="s">
        <v>111</v>
      </c>
      <c r="S38" s="66" t="s">
        <v>111</v>
      </c>
      <c r="T38" s="66" t="s">
        <v>111</v>
      </c>
      <c r="U38" s="66" t="s">
        <v>111</v>
      </c>
      <c r="V38" s="66" t="s">
        <v>111</v>
      </c>
      <c r="W38" s="66" t="s">
        <v>111</v>
      </c>
      <c r="X38" s="66" t="s">
        <v>111</v>
      </c>
      <c r="Y38" s="66" t="s">
        <v>111</v>
      </c>
      <c r="Z38" s="66" t="s">
        <v>111</v>
      </c>
      <c r="AA38" s="66" t="s">
        <v>111</v>
      </c>
      <c r="AB38" s="66" t="s">
        <v>111</v>
      </c>
      <c r="AC38" s="66" t="s">
        <v>111</v>
      </c>
      <c r="AD38" s="66" t="s">
        <v>111</v>
      </c>
      <c r="AE38" s="66" t="s">
        <v>111</v>
      </c>
      <c r="AF38" s="66" t="s">
        <v>111</v>
      </c>
      <c r="AG38" s="66" t="s">
        <v>111</v>
      </c>
      <c r="AH38" s="66" t="s">
        <v>111</v>
      </c>
      <c r="AI38" s="66" t="s">
        <v>111</v>
      </c>
      <c r="AJ38" s="66" t="s">
        <v>111</v>
      </c>
      <c r="AK38" s="66" t="s">
        <v>111</v>
      </c>
      <c r="AL38" s="66" t="s">
        <v>111</v>
      </c>
      <c r="AM38" s="66" t="s">
        <v>111</v>
      </c>
      <c r="AN38" s="66" t="s">
        <v>111</v>
      </c>
      <c r="AO38" s="66" t="s">
        <v>111</v>
      </c>
      <c r="AP38" s="66" t="s">
        <v>111</v>
      </c>
    </row>
    <row r="39" spans="1:42" x14ac:dyDescent="0.25">
      <c r="A39" s="37" t="s">
        <v>20</v>
      </c>
      <c r="B39" s="37" t="s">
        <v>21</v>
      </c>
      <c r="C39" s="37" t="s">
        <v>11</v>
      </c>
      <c r="D39" s="61" t="s">
        <v>145</v>
      </c>
      <c r="E39" s="46"/>
      <c r="F39" s="46"/>
      <c r="G39" s="46"/>
      <c r="H39" s="46"/>
      <c r="I39" s="75" t="s">
        <v>109</v>
      </c>
      <c r="J39" s="61" t="s">
        <v>94</v>
      </c>
      <c r="K39" s="63">
        <v>9067000000</v>
      </c>
      <c r="L39" s="46">
        <v>9401000000</v>
      </c>
      <c r="M39" s="46" t="s">
        <v>112</v>
      </c>
      <c r="N39" s="66" t="s">
        <v>112</v>
      </c>
      <c r="O39" s="66" t="s">
        <v>112</v>
      </c>
      <c r="P39" s="66" t="s">
        <v>112</v>
      </c>
      <c r="Q39" s="66" t="s">
        <v>112</v>
      </c>
      <c r="R39" s="66" t="s">
        <v>112</v>
      </c>
      <c r="S39" s="66" t="s">
        <v>112</v>
      </c>
      <c r="T39" s="66" t="s">
        <v>112</v>
      </c>
      <c r="U39" s="66" t="s">
        <v>112</v>
      </c>
      <c r="V39" s="66" t="s">
        <v>112</v>
      </c>
      <c r="W39" s="66" t="s">
        <v>112</v>
      </c>
      <c r="X39" s="66" t="s">
        <v>112</v>
      </c>
      <c r="Y39" s="66" t="s">
        <v>112</v>
      </c>
      <c r="Z39" s="66" t="s">
        <v>112</v>
      </c>
      <c r="AA39" s="66" t="s">
        <v>112</v>
      </c>
      <c r="AB39" s="66" t="s">
        <v>112</v>
      </c>
      <c r="AC39" s="66" t="s">
        <v>112</v>
      </c>
      <c r="AD39" s="66" t="s">
        <v>112</v>
      </c>
      <c r="AE39" s="66" t="s">
        <v>112</v>
      </c>
      <c r="AF39" s="66" t="s">
        <v>112</v>
      </c>
      <c r="AG39" s="66" t="s">
        <v>112</v>
      </c>
      <c r="AH39" s="66" t="s">
        <v>112</v>
      </c>
      <c r="AI39" s="66" t="s">
        <v>112</v>
      </c>
      <c r="AJ39" s="66" t="s">
        <v>112</v>
      </c>
      <c r="AK39" s="66" t="s">
        <v>112</v>
      </c>
      <c r="AL39" s="66" t="s">
        <v>112</v>
      </c>
      <c r="AM39" s="66" t="s">
        <v>112</v>
      </c>
      <c r="AN39" s="66" t="s">
        <v>112</v>
      </c>
      <c r="AO39" s="66" t="s">
        <v>112</v>
      </c>
      <c r="AP39" s="66" t="s">
        <v>112</v>
      </c>
    </row>
    <row r="40" spans="1:42" x14ac:dyDescent="0.25">
      <c r="A40" s="37" t="s">
        <v>113</v>
      </c>
      <c r="B40" s="37" t="s">
        <v>114</v>
      </c>
      <c r="C40" s="37" t="s">
        <v>11</v>
      </c>
      <c r="D40" s="61" t="s">
        <v>145</v>
      </c>
      <c r="E40" s="46"/>
      <c r="F40" s="46"/>
      <c r="G40" s="46"/>
      <c r="H40" s="46"/>
      <c r="I40" s="75" t="s">
        <v>109</v>
      </c>
      <c r="J40" s="61" t="s">
        <v>94</v>
      </c>
      <c r="K40" s="63">
        <v>18813000000</v>
      </c>
      <c r="L40" s="46">
        <v>20885000000</v>
      </c>
      <c r="M40" s="46" t="s">
        <v>115</v>
      </c>
      <c r="N40" s="66" t="s">
        <v>115</v>
      </c>
      <c r="O40" s="66" t="s">
        <v>115</v>
      </c>
      <c r="P40" s="66" t="s">
        <v>115</v>
      </c>
      <c r="Q40" s="66" t="s">
        <v>115</v>
      </c>
      <c r="R40" s="66" t="s">
        <v>115</v>
      </c>
      <c r="S40" s="66" t="s">
        <v>115</v>
      </c>
      <c r="T40" s="66" t="s">
        <v>115</v>
      </c>
      <c r="U40" s="66" t="s">
        <v>115</v>
      </c>
      <c r="V40" s="66" t="s">
        <v>115</v>
      </c>
      <c r="W40" s="66" t="s">
        <v>115</v>
      </c>
      <c r="X40" s="66" t="s">
        <v>115</v>
      </c>
      <c r="Y40" s="66" t="s">
        <v>115</v>
      </c>
      <c r="Z40" s="66" t="s">
        <v>115</v>
      </c>
      <c r="AA40" s="66" t="s">
        <v>115</v>
      </c>
      <c r="AB40" s="66" t="s">
        <v>115</v>
      </c>
      <c r="AC40" s="66" t="s">
        <v>115</v>
      </c>
      <c r="AD40" s="66" t="s">
        <v>115</v>
      </c>
      <c r="AE40" s="66" t="s">
        <v>115</v>
      </c>
      <c r="AF40" s="66" t="s">
        <v>115</v>
      </c>
      <c r="AG40" s="66" t="s">
        <v>115</v>
      </c>
      <c r="AH40" s="66" t="s">
        <v>115</v>
      </c>
      <c r="AI40" s="66" t="s">
        <v>115</v>
      </c>
      <c r="AJ40" s="66" t="s">
        <v>115</v>
      </c>
      <c r="AK40" s="66" t="s">
        <v>115</v>
      </c>
      <c r="AL40" s="66" t="s">
        <v>115</v>
      </c>
      <c r="AM40" s="66" t="s">
        <v>115</v>
      </c>
      <c r="AN40" s="66" t="s">
        <v>115</v>
      </c>
      <c r="AO40" s="66" t="s">
        <v>115</v>
      </c>
      <c r="AP40" s="66" t="s">
        <v>115</v>
      </c>
    </row>
    <row r="41" spans="1:42" x14ac:dyDescent="0.25">
      <c r="A41" s="37" t="s">
        <v>116</v>
      </c>
      <c r="B41" s="37" t="s">
        <v>117</v>
      </c>
      <c r="C41" s="37" t="s">
        <v>11</v>
      </c>
      <c r="D41" s="61" t="s">
        <v>145</v>
      </c>
      <c r="E41" s="46"/>
      <c r="F41" s="46"/>
      <c r="G41" s="46"/>
      <c r="H41" s="46"/>
      <c r="I41" s="75" t="s">
        <v>265</v>
      </c>
      <c r="J41" s="61" t="s">
        <v>94</v>
      </c>
      <c r="K41" s="63">
        <v>0</v>
      </c>
      <c r="L41" s="46">
        <v>0</v>
      </c>
      <c r="M41" s="46" t="s">
        <v>266</v>
      </c>
      <c r="N41" s="66" t="s">
        <v>266</v>
      </c>
      <c r="O41" s="66" t="s">
        <v>266</v>
      </c>
      <c r="P41" s="66" t="s">
        <v>266</v>
      </c>
      <c r="Q41" s="66" t="s">
        <v>266</v>
      </c>
      <c r="R41" s="66" t="s">
        <v>266</v>
      </c>
      <c r="S41" s="66" t="s">
        <v>266</v>
      </c>
      <c r="T41" s="66" t="s">
        <v>266</v>
      </c>
      <c r="U41" s="66" t="s">
        <v>266</v>
      </c>
      <c r="V41" s="66" t="s">
        <v>266</v>
      </c>
      <c r="W41" s="66" t="s">
        <v>266</v>
      </c>
      <c r="X41" s="66" t="s">
        <v>266</v>
      </c>
      <c r="Y41" s="66" t="s">
        <v>266</v>
      </c>
      <c r="Z41" s="66" t="s">
        <v>266</v>
      </c>
      <c r="AA41" s="66" t="s">
        <v>266</v>
      </c>
      <c r="AB41" s="66" t="s">
        <v>266</v>
      </c>
      <c r="AC41" s="66" t="s">
        <v>266</v>
      </c>
      <c r="AD41" s="66" t="s">
        <v>266</v>
      </c>
      <c r="AE41" s="66" t="s">
        <v>266</v>
      </c>
      <c r="AF41" s="66" t="s">
        <v>266</v>
      </c>
      <c r="AG41" s="66" t="s">
        <v>266</v>
      </c>
      <c r="AH41" s="66" t="s">
        <v>266</v>
      </c>
      <c r="AI41" s="66" t="s">
        <v>266</v>
      </c>
      <c r="AJ41" s="66" t="s">
        <v>266</v>
      </c>
      <c r="AK41" s="66" t="s">
        <v>266</v>
      </c>
      <c r="AL41" s="66" t="s">
        <v>266</v>
      </c>
      <c r="AM41" s="66" t="s">
        <v>266</v>
      </c>
      <c r="AN41" s="66" t="s">
        <v>266</v>
      </c>
      <c r="AO41" s="66" t="s">
        <v>266</v>
      </c>
      <c r="AP41" s="66" t="s">
        <v>266</v>
      </c>
    </row>
    <row r="42" spans="1:42" x14ac:dyDescent="0.25">
      <c r="A42" s="37" t="s">
        <v>22</v>
      </c>
      <c r="B42" s="37" t="s">
        <v>23</v>
      </c>
      <c r="C42" s="37" t="s">
        <v>11</v>
      </c>
      <c r="D42" s="61" t="s">
        <v>145</v>
      </c>
      <c r="E42" s="46"/>
      <c r="F42" s="46"/>
      <c r="G42" s="46"/>
      <c r="H42" s="46"/>
      <c r="I42" s="75" t="s">
        <v>109</v>
      </c>
      <c r="J42" s="61" t="s">
        <v>94</v>
      </c>
      <c r="K42" s="63">
        <v>33083000000</v>
      </c>
      <c r="L42" s="46">
        <v>33410000000</v>
      </c>
      <c r="M42" s="46" t="s">
        <v>118</v>
      </c>
      <c r="N42" s="66" t="s">
        <v>118</v>
      </c>
      <c r="O42" s="66" t="s">
        <v>118</v>
      </c>
      <c r="P42" s="66" t="s">
        <v>118</v>
      </c>
      <c r="Q42" s="66" t="s">
        <v>118</v>
      </c>
      <c r="R42" s="66" t="s">
        <v>118</v>
      </c>
      <c r="S42" s="66" t="s">
        <v>118</v>
      </c>
      <c r="T42" s="66" t="s">
        <v>118</v>
      </c>
      <c r="U42" s="66" t="s">
        <v>118</v>
      </c>
      <c r="V42" s="66" t="s">
        <v>118</v>
      </c>
      <c r="W42" s="66" t="s">
        <v>118</v>
      </c>
      <c r="X42" s="66" t="s">
        <v>118</v>
      </c>
      <c r="Y42" s="66" t="s">
        <v>118</v>
      </c>
      <c r="Z42" s="66" t="s">
        <v>118</v>
      </c>
      <c r="AA42" s="66" t="s">
        <v>118</v>
      </c>
      <c r="AB42" s="66" t="s">
        <v>118</v>
      </c>
      <c r="AC42" s="66" t="s">
        <v>118</v>
      </c>
      <c r="AD42" s="66" t="s">
        <v>118</v>
      </c>
      <c r="AE42" s="66" t="s">
        <v>118</v>
      </c>
      <c r="AF42" s="66" t="s">
        <v>118</v>
      </c>
      <c r="AG42" s="66" t="s">
        <v>118</v>
      </c>
      <c r="AH42" s="66" t="s">
        <v>118</v>
      </c>
      <c r="AI42" s="66" t="s">
        <v>118</v>
      </c>
      <c r="AJ42" s="66" t="s">
        <v>118</v>
      </c>
      <c r="AK42" s="66" t="s">
        <v>118</v>
      </c>
      <c r="AL42" s="66" t="s">
        <v>118</v>
      </c>
      <c r="AM42" s="66" t="s">
        <v>118</v>
      </c>
      <c r="AN42" s="66" t="s">
        <v>118</v>
      </c>
      <c r="AO42" s="66" t="s">
        <v>118</v>
      </c>
      <c r="AP42" s="66" t="s">
        <v>118</v>
      </c>
    </row>
    <row r="43" spans="1:42" x14ac:dyDescent="0.25">
      <c r="A43" s="37" t="s">
        <v>62</v>
      </c>
      <c r="B43" s="37" t="s">
        <v>63</v>
      </c>
      <c r="C43" s="37" t="s">
        <v>11</v>
      </c>
      <c r="D43" s="61" t="s">
        <v>145</v>
      </c>
      <c r="E43" s="46"/>
      <c r="F43" s="46"/>
      <c r="G43" s="46"/>
      <c r="H43" s="46"/>
      <c r="I43" s="75" t="s">
        <v>67</v>
      </c>
      <c r="J43" s="61" t="s">
        <v>94</v>
      </c>
      <c r="K43" s="63">
        <v>107715000000</v>
      </c>
      <c r="L43" s="46" t="s">
        <v>119</v>
      </c>
      <c r="M43" s="46" t="s">
        <v>119</v>
      </c>
      <c r="N43" s="66" t="s">
        <v>119</v>
      </c>
      <c r="O43" s="66" t="s">
        <v>119</v>
      </c>
      <c r="P43" s="66" t="s">
        <v>119</v>
      </c>
      <c r="Q43" s="66" t="s">
        <v>119</v>
      </c>
      <c r="R43" s="66" t="s">
        <v>119</v>
      </c>
      <c r="S43" s="66" t="s">
        <v>119</v>
      </c>
      <c r="T43" s="66" t="s">
        <v>119</v>
      </c>
      <c r="U43" s="66" t="s">
        <v>119</v>
      </c>
      <c r="V43" s="66" t="s">
        <v>119</v>
      </c>
      <c r="W43" s="66" t="s">
        <v>119</v>
      </c>
      <c r="X43" s="66" t="s">
        <v>119</v>
      </c>
      <c r="Y43" s="66" t="s">
        <v>119</v>
      </c>
      <c r="Z43" s="66" t="s">
        <v>119</v>
      </c>
      <c r="AA43" s="66" t="s">
        <v>119</v>
      </c>
      <c r="AB43" s="66" t="s">
        <v>119</v>
      </c>
      <c r="AC43" s="66" t="s">
        <v>119</v>
      </c>
      <c r="AD43" s="66" t="s">
        <v>119</v>
      </c>
      <c r="AE43" s="66" t="s">
        <v>119</v>
      </c>
      <c r="AF43" s="66" t="s">
        <v>119</v>
      </c>
      <c r="AG43" s="66" t="s">
        <v>119</v>
      </c>
      <c r="AH43" s="66" t="s">
        <v>119</v>
      </c>
      <c r="AI43" s="66" t="s">
        <v>119</v>
      </c>
      <c r="AJ43" s="66" t="s">
        <v>119</v>
      </c>
      <c r="AK43" s="66" t="s">
        <v>119</v>
      </c>
      <c r="AL43" s="66" t="s">
        <v>119</v>
      </c>
      <c r="AM43" s="66" t="s">
        <v>119</v>
      </c>
      <c r="AN43" s="66" t="s">
        <v>119</v>
      </c>
      <c r="AO43" s="66" t="s">
        <v>119</v>
      </c>
      <c r="AP43" s="66" t="s">
        <v>119</v>
      </c>
    </row>
    <row r="44" spans="1:42" x14ac:dyDescent="0.25">
      <c r="A44" s="37" t="s">
        <v>120</v>
      </c>
      <c r="B44" s="37" t="s">
        <v>121</v>
      </c>
      <c r="C44" s="37" t="s">
        <v>10</v>
      </c>
      <c r="D44" s="61" t="s">
        <v>145</v>
      </c>
      <c r="E44" s="46"/>
      <c r="F44" s="46"/>
      <c r="G44" s="46"/>
      <c r="H44" s="46"/>
      <c r="I44" s="75" t="s">
        <v>122</v>
      </c>
      <c r="J44" s="61" t="s">
        <v>94</v>
      </c>
      <c r="K44" s="63">
        <v>44414000000</v>
      </c>
      <c r="L44" s="46">
        <v>47268900000</v>
      </c>
      <c r="M44" s="76" t="s">
        <v>267</v>
      </c>
      <c r="N44" s="66" t="s">
        <v>267</v>
      </c>
      <c r="O44" s="66" t="s">
        <v>267</v>
      </c>
      <c r="P44" s="66" t="s">
        <v>267</v>
      </c>
      <c r="Q44" s="66" t="s">
        <v>267</v>
      </c>
      <c r="R44" s="66" t="s">
        <v>267</v>
      </c>
      <c r="S44" s="66" t="s">
        <v>267</v>
      </c>
      <c r="T44" s="66" t="s">
        <v>267</v>
      </c>
      <c r="U44" s="66" t="s">
        <v>267</v>
      </c>
      <c r="V44" s="66" t="s">
        <v>267</v>
      </c>
      <c r="W44" s="66" t="s">
        <v>267</v>
      </c>
      <c r="X44" s="66" t="s">
        <v>267</v>
      </c>
      <c r="Y44" s="66" t="s">
        <v>267</v>
      </c>
      <c r="Z44" s="66" t="s">
        <v>267</v>
      </c>
      <c r="AA44" s="66" t="s">
        <v>267</v>
      </c>
      <c r="AB44" s="66" t="s">
        <v>267</v>
      </c>
      <c r="AC44" s="66" t="s">
        <v>267</v>
      </c>
      <c r="AD44" s="66" t="s">
        <v>267</v>
      </c>
      <c r="AE44" s="66" t="s">
        <v>267</v>
      </c>
      <c r="AF44" s="66" t="s">
        <v>267</v>
      </c>
      <c r="AG44" s="66" t="s">
        <v>267</v>
      </c>
      <c r="AH44" s="66" t="s">
        <v>267</v>
      </c>
      <c r="AI44" s="66" t="s">
        <v>267</v>
      </c>
      <c r="AJ44" s="66" t="s">
        <v>267</v>
      </c>
      <c r="AK44" s="66" t="s">
        <v>267</v>
      </c>
      <c r="AL44" s="66" t="s">
        <v>267</v>
      </c>
      <c r="AM44" s="66" t="s">
        <v>267</v>
      </c>
      <c r="AN44" s="66" t="s">
        <v>267</v>
      </c>
      <c r="AO44" s="66" t="s">
        <v>267</v>
      </c>
      <c r="AP44" s="66" t="s">
        <v>267</v>
      </c>
    </row>
    <row r="45" spans="1:42" x14ac:dyDescent="0.25">
      <c r="A45" s="37" t="s">
        <v>123</v>
      </c>
      <c r="B45" s="37" t="s">
        <v>124</v>
      </c>
      <c r="C45" s="37" t="s">
        <v>10</v>
      </c>
      <c r="D45" s="61" t="s">
        <v>145</v>
      </c>
      <c r="E45" s="46"/>
      <c r="F45" s="46"/>
      <c r="G45" s="46"/>
      <c r="H45" s="46"/>
      <c r="I45" s="75" t="s">
        <v>125</v>
      </c>
      <c r="J45" s="61" t="s">
        <v>94</v>
      </c>
      <c r="K45" s="63">
        <v>21857000000</v>
      </c>
      <c r="L45" s="46">
        <v>23345900000</v>
      </c>
      <c r="M45" s="76" t="s">
        <v>268</v>
      </c>
      <c r="N45" s="66" t="s">
        <v>268</v>
      </c>
      <c r="O45" s="66" t="s">
        <v>268</v>
      </c>
      <c r="P45" s="66" t="s">
        <v>268</v>
      </c>
      <c r="Q45" s="66" t="s">
        <v>268</v>
      </c>
      <c r="R45" s="66" t="s">
        <v>268</v>
      </c>
      <c r="S45" s="66" t="s">
        <v>268</v>
      </c>
      <c r="T45" s="66" t="s">
        <v>268</v>
      </c>
      <c r="U45" s="66" t="s">
        <v>268</v>
      </c>
      <c r="V45" s="66" t="s">
        <v>268</v>
      </c>
      <c r="W45" s="66" t="s">
        <v>268</v>
      </c>
      <c r="X45" s="66" t="s">
        <v>268</v>
      </c>
      <c r="Y45" s="66" t="s">
        <v>268</v>
      </c>
      <c r="Z45" s="66" t="s">
        <v>268</v>
      </c>
      <c r="AA45" s="66" t="s">
        <v>268</v>
      </c>
      <c r="AB45" s="66" t="s">
        <v>268</v>
      </c>
      <c r="AC45" s="66" t="s">
        <v>268</v>
      </c>
      <c r="AD45" s="66" t="s">
        <v>268</v>
      </c>
      <c r="AE45" s="66" t="s">
        <v>268</v>
      </c>
      <c r="AF45" s="66" t="s">
        <v>268</v>
      </c>
      <c r="AG45" s="66" t="s">
        <v>268</v>
      </c>
      <c r="AH45" s="66" t="s">
        <v>268</v>
      </c>
      <c r="AI45" s="66" t="s">
        <v>268</v>
      </c>
      <c r="AJ45" s="66" t="s">
        <v>268</v>
      </c>
      <c r="AK45" s="66" t="s">
        <v>268</v>
      </c>
      <c r="AL45" s="66" t="s">
        <v>268</v>
      </c>
      <c r="AM45" s="66" t="s">
        <v>268</v>
      </c>
      <c r="AN45" s="66" t="s">
        <v>268</v>
      </c>
      <c r="AO45" s="66" t="s">
        <v>268</v>
      </c>
      <c r="AP45" s="66" t="s">
        <v>268</v>
      </c>
    </row>
    <row r="46" spans="1:42" x14ac:dyDescent="0.25">
      <c r="A46" s="37" t="s">
        <v>126</v>
      </c>
      <c r="B46" s="37" t="s">
        <v>127</v>
      </c>
      <c r="C46" s="37" t="s">
        <v>10</v>
      </c>
      <c r="D46" s="61" t="s">
        <v>145</v>
      </c>
      <c r="E46" s="46"/>
      <c r="F46" s="46"/>
      <c r="G46" s="46"/>
      <c r="H46" s="46"/>
      <c r="I46" s="75" t="s">
        <v>109</v>
      </c>
      <c r="J46" s="61" t="s">
        <v>94</v>
      </c>
      <c r="K46" s="63">
        <v>45435000000</v>
      </c>
      <c r="L46" s="46">
        <v>43848000000</v>
      </c>
      <c r="M46" s="46" t="s">
        <v>128</v>
      </c>
      <c r="N46" s="66" t="s">
        <v>128</v>
      </c>
      <c r="O46" s="66" t="s">
        <v>128</v>
      </c>
      <c r="P46" s="66" t="s">
        <v>128</v>
      </c>
      <c r="Q46" s="66" t="s">
        <v>128</v>
      </c>
      <c r="R46" s="66" t="s">
        <v>128</v>
      </c>
      <c r="S46" s="66" t="s">
        <v>128</v>
      </c>
      <c r="T46" s="66" t="s">
        <v>128</v>
      </c>
      <c r="U46" s="66" t="s">
        <v>128</v>
      </c>
      <c r="V46" s="66" t="s">
        <v>128</v>
      </c>
      <c r="W46" s="66" t="s">
        <v>128</v>
      </c>
      <c r="X46" s="66" t="s">
        <v>128</v>
      </c>
      <c r="Y46" s="66" t="s">
        <v>128</v>
      </c>
      <c r="Z46" s="66" t="s">
        <v>128</v>
      </c>
      <c r="AA46" s="66" t="s">
        <v>128</v>
      </c>
      <c r="AB46" s="66" t="s">
        <v>128</v>
      </c>
      <c r="AC46" s="66" t="s">
        <v>128</v>
      </c>
      <c r="AD46" s="66" t="s">
        <v>128</v>
      </c>
      <c r="AE46" s="66" t="s">
        <v>128</v>
      </c>
      <c r="AF46" s="66" t="s">
        <v>128</v>
      </c>
      <c r="AG46" s="66" t="s">
        <v>128</v>
      </c>
      <c r="AH46" s="66" t="s">
        <v>128</v>
      </c>
      <c r="AI46" s="66" t="s">
        <v>128</v>
      </c>
      <c r="AJ46" s="66" t="s">
        <v>128</v>
      </c>
      <c r="AK46" s="66" t="s">
        <v>128</v>
      </c>
      <c r="AL46" s="66" t="s">
        <v>128</v>
      </c>
      <c r="AM46" s="66" t="s">
        <v>128</v>
      </c>
      <c r="AN46" s="66" t="s">
        <v>128</v>
      </c>
      <c r="AO46" s="66" t="s">
        <v>128</v>
      </c>
      <c r="AP46" s="66" t="s">
        <v>128</v>
      </c>
    </row>
    <row r="47" spans="1:42" x14ac:dyDescent="0.25">
      <c r="A47" s="37" t="s">
        <v>83</v>
      </c>
      <c r="B47" s="37" t="s">
        <v>269</v>
      </c>
      <c r="C47" s="37" t="s">
        <v>10</v>
      </c>
      <c r="D47" s="61" t="s">
        <v>145</v>
      </c>
      <c r="E47" s="46"/>
      <c r="F47" s="46"/>
      <c r="G47" s="46"/>
      <c r="H47" s="46"/>
      <c r="I47" s="75" t="s">
        <v>84</v>
      </c>
      <c r="J47" s="61" t="s">
        <v>94</v>
      </c>
      <c r="K47" s="63">
        <v>9480000000</v>
      </c>
      <c r="L47" s="46">
        <v>10096900000</v>
      </c>
      <c r="M47" s="46" t="s">
        <v>136</v>
      </c>
      <c r="N47" s="66" t="s">
        <v>136</v>
      </c>
      <c r="O47" s="66" t="s">
        <v>136</v>
      </c>
      <c r="P47" s="66" t="s">
        <v>136</v>
      </c>
      <c r="Q47" s="66" t="s">
        <v>136</v>
      </c>
      <c r="R47" s="66" t="s">
        <v>136</v>
      </c>
      <c r="S47" s="66" t="s">
        <v>136</v>
      </c>
      <c r="T47" s="66" t="s">
        <v>136</v>
      </c>
      <c r="U47" s="66" t="s">
        <v>136</v>
      </c>
      <c r="V47" s="66" t="s">
        <v>136</v>
      </c>
      <c r="W47" s="66" t="s">
        <v>136</v>
      </c>
      <c r="X47" s="66" t="s">
        <v>136</v>
      </c>
      <c r="Y47" s="66" t="s">
        <v>136</v>
      </c>
      <c r="Z47" s="66" t="s">
        <v>136</v>
      </c>
      <c r="AA47" s="66" t="s">
        <v>136</v>
      </c>
      <c r="AB47" s="66" t="s">
        <v>136</v>
      </c>
      <c r="AC47" s="66" t="s">
        <v>136</v>
      </c>
      <c r="AD47" s="66" t="s">
        <v>136</v>
      </c>
      <c r="AE47" s="66" t="s">
        <v>136</v>
      </c>
      <c r="AF47" s="66" t="s">
        <v>136</v>
      </c>
      <c r="AG47" s="66" t="s">
        <v>136</v>
      </c>
      <c r="AH47" s="66" t="s">
        <v>136</v>
      </c>
      <c r="AI47" s="66" t="s">
        <v>136</v>
      </c>
      <c r="AJ47" s="66" t="s">
        <v>136</v>
      </c>
      <c r="AK47" s="66" t="s">
        <v>136</v>
      </c>
      <c r="AL47" s="66" t="s">
        <v>136</v>
      </c>
      <c r="AM47" s="66" t="s">
        <v>136</v>
      </c>
      <c r="AN47" s="66" t="s">
        <v>136</v>
      </c>
      <c r="AO47" s="66" t="s">
        <v>136</v>
      </c>
      <c r="AP47" s="66" t="s">
        <v>136</v>
      </c>
    </row>
    <row r="48" spans="1:42" x14ac:dyDescent="0.25">
      <c r="A48" s="37" t="s">
        <v>270</v>
      </c>
      <c r="B48" s="37" t="s">
        <v>271</v>
      </c>
      <c r="C48" s="37" t="s">
        <v>10</v>
      </c>
      <c r="D48" s="61" t="s">
        <v>145</v>
      </c>
      <c r="E48" s="46"/>
      <c r="F48" s="46"/>
      <c r="G48" s="46"/>
      <c r="H48" s="46"/>
      <c r="I48" s="75" t="s">
        <v>109</v>
      </c>
      <c r="J48" s="61" t="s">
        <v>94</v>
      </c>
      <c r="K48" s="63">
        <v>0</v>
      </c>
      <c r="L48" s="46" t="s">
        <v>272</v>
      </c>
      <c r="M48" s="46" t="s">
        <v>272</v>
      </c>
      <c r="N48" s="66" t="s">
        <v>272</v>
      </c>
      <c r="O48" s="66" t="s">
        <v>272</v>
      </c>
      <c r="P48" s="66" t="s">
        <v>272</v>
      </c>
      <c r="Q48" s="66" t="s">
        <v>272</v>
      </c>
      <c r="R48" s="66" t="s">
        <v>272</v>
      </c>
      <c r="S48" s="66" t="s">
        <v>272</v>
      </c>
      <c r="T48" s="66" t="s">
        <v>272</v>
      </c>
      <c r="U48" s="66" t="s">
        <v>272</v>
      </c>
      <c r="V48" s="66" t="s">
        <v>272</v>
      </c>
      <c r="W48" s="66" t="s">
        <v>272</v>
      </c>
      <c r="X48" s="66" t="s">
        <v>272</v>
      </c>
      <c r="Y48" s="66" t="s">
        <v>272</v>
      </c>
      <c r="Z48" s="66" t="s">
        <v>272</v>
      </c>
      <c r="AA48" s="66" t="s">
        <v>272</v>
      </c>
      <c r="AB48" s="66" t="s">
        <v>272</v>
      </c>
      <c r="AC48" s="66" t="s">
        <v>272</v>
      </c>
      <c r="AD48" s="66" t="s">
        <v>272</v>
      </c>
      <c r="AE48" s="66" t="s">
        <v>272</v>
      </c>
      <c r="AF48" s="66" t="s">
        <v>272</v>
      </c>
      <c r="AG48" s="66" t="s">
        <v>272</v>
      </c>
      <c r="AH48" s="66" t="s">
        <v>272</v>
      </c>
      <c r="AI48" s="66" t="s">
        <v>272</v>
      </c>
      <c r="AJ48" s="66" t="s">
        <v>272</v>
      </c>
      <c r="AK48" s="66" t="s">
        <v>272</v>
      </c>
      <c r="AL48" s="66" t="s">
        <v>272</v>
      </c>
      <c r="AM48" s="66" t="s">
        <v>272</v>
      </c>
      <c r="AN48" s="66" t="s">
        <v>272</v>
      </c>
      <c r="AO48" s="66" t="s">
        <v>272</v>
      </c>
      <c r="AP48" s="66" t="s">
        <v>272</v>
      </c>
    </row>
    <row r="49" spans="1:42" x14ac:dyDescent="0.25">
      <c r="A49" s="37" t="s">
        <v>87</v>
      </c>
      <c r="B49" s="37" t="s">
        <v>64</v>
      </c>
      <c r="C49" s="37" t="s">
        <v>10</v>
      </c>
      <c r="D49" s="61" t="s">
        <v>145</v>
      </c>
      <c r="E49" s="46"/>
      <c r="F49" s="46"/>
      <c r="G49" s="46"/>
      <c r="H49" s="46"/>
      <c r="I49" s="75" t="s">
        <v>66</v>
      </c>
      <c r="J49" s="61" t="s">
        <v>94</v>
      </c>
      <c r="K49" s="63">
        <v>121186000000</v>
      </c>
      <c r="L49" s="46" t="s">
        <v>273</v>
      </c>
      <c r="M49" s="46" t="s">
        <v>273</v>
      </c>
      <c r="N49" s="66" t="s">
        <v>273</v>
      </c>
      <c r="O49" s="66" t="s">
        <v>273</v>
      </c>
      <c r="P49" s="66" t="s">
        <v>273</v>
      </c>
      <c r="Q49" s="66" t="s">
        <v>273</v>
      </c>
      <c r="R49" s="66" t="s">
        <v>273</v>
      </c>
      <c r="S49" s="66" t="s">
        <v>273</v>
      </c>
      <c r="T49" s="66" t="s">
        <v>273</v>
      </c>
      <c r="U49" s="66" t="s">
        <v>273</v>
      </c>
      <c r="V49" s="66" t="s">
        <v>273</v>
      </c>
      <c r="W49" s="66" t="s">
        <v>273</v>
      </c>
      <c r="X49" s="66" t="s">
        <v>273</v>
      </c>
      <c r="Y49" s="66" t="s">
        <v>273</v>
      </c>
      <c r="Z49" s="66" t="s">
        <v>273</v>
      </c>
      <c r="AA49" s="66" t="s">
        <v>273</v>
      </c>
      <c r="AB49" s="66" t="s">
        <v>273</v>
      </c>
      <c r="AC49" s="66" t="s">
        <v>273</v>
      </c>
      <c r="AD49" s="66" t="s">
        <v>273</v>
      </c>
      <c r="AE49" s="66" t="s">
        <v>273</v>
      </c>
      <c r="AF49" s="66" t="s">
        <v>273</v>
      </c>
      <c r="AG49" s="66" t="s">
        <v>273</v>
      </c>
      <c r="AH49" s="66" t="s">
        <v>273</v>
      </c>
      <c r="AI49" s="66" t="s">
        <v>273</v>
      </c>
      <c r="AJ49" s="66" t="s">
        <v>273</v>
      </c>
      <c r="AK49" s="66" t="s">
        <v>273</v>
      </c>
      <c r="AL49" s="66" t="s">
        <v>273</v>
      </c>
      <c r="AM49" s="66" t="s">
        <v>273</v>
      </c>
      <c r="AN49" s="66" t="s">
        <v>273</v>
      </c>
      <c r="AO49" s="66" t="s">
        <v>273</v>
      </c>
      <c r="AP49" s="66" t="s">
        <v>273</v>
      </c>
    </row>
    <row r="50" spans="1:42" x14ac:dyDescent="0.25">
      <c r="A50" s="37" t="s">
        <v>85</v>
      </c>
      <c r="B50" s="37" t="s">
        <v>25</v>
      </c>
      <c r="C50" s="37" t="s">
        <v>13</v>
      </c>
      <c r="D50" s="61" t="s">
        <v>145</v>
      </c>
      <c r="E50" s="46"/>
      <c r="F50" s="46"/>
      <c r="G50" s="46"/>
      <c r="H50" s="46"/>
      <c r="I50" s="75" t="s">
        <v>68</v>
      </c>
      <c r="J50" s="61" t="s">
        <v>94</v>
      </c>
      <c r="K50" s="63">
        <v>-13471000000</v>
      </c>
      <c r="L50" s="46" t="s">
        <v>316</v>
      </c>
      <c r="M50" s="46" t="s">
        <v>316</v>
      </c>
      <c r="N50" s="46" t="s">
        <v>316</v>
      </c>
      <c r="O50" s="46" t="s">
        <v>316</v>
      </c>
      <c r="P50" s="46" t="s">
        <v>316</v>
      </c>
      <c r="Q50" s="46" t="s">
        <v>316</v>
      </c>
      <c r="R50" s="46" t="s">
        <v>316</v>
      </c>
      <c r="S50" s="46" t="s">
        <v>316</v>
      </c>
      <c r="T50" s="46" t="s">
        <v>316</v>
      </c>
      <c r="U50" s="46" t="s">
        <v>316</v>
      </c>
      <c r="V50" s="46" t="s">
        <v>316</v>
      </c>
      <c r="W50" s="46" t="s">
        <v>316</v>
      </c>
      <c r="X50" s="46" t="s">
        <v>316</v>
      </c>
      <c r="Y50" s="46" t="s">
        <v>316</v>
      </c>
      <c r="Z50" s="46" t="s">
        <v>316</v>
      </c>
      <c r="AA50" s="46" t="s">
        <v>316</v>
      </c>
      <c r="AB50" s="46" t="s">
        <v>316</v>
      </c>
      <c r="AC50" s="46" t="s">
        <v>316</v>
      </c>
      <c r="AD50" s="46" t="s">
        <v>316</v>
      </c>
      <c r="AE50" s="46" t="s">
        <v>316</v>
      </c>
      <c r="AF50" s="46" t="s">
        <v>316</v>
      </c>
      <c r="AG50" s="46" t="s">
        <v>316</v>
      </c>
      <c r="AH50" s="46" t="s">
        <v>316</v>
      </c>
      <c r="AI50" s="46" t="s">
        <v>316</v>
      </c>
      <c r="AJ50" s="46" t="s">
        <v>316</v>
      </c>
      <c r="AK50" s="46" t="s">
        <v>316</v>
      </c>
      <c r="AL50" s="46" t="s">
        <v>316</v>
      </c>
      <c r="AM50" s="46" t="s">
        <v>316</v>
      </c>
      <c r="AN50" s="46" t="s">
        <v>316</v>
      </c>
      <c r="AO50" s="46" t="s">
        <v>316</v>
      </c>
      <c r="AP50" s="46" t="s">
        <v>316</v>
      </c>
    </row>
    <row r="51" spans="1:42" x14ac:dyDescent="0.25">
      <c r="A51" s="37" t="s">
        <v>24</v>
      </c>
      <c r="B51" s="37" t="s">
        <v>13</v>
      </c>
      <c r="C51" s="37" t="s">
        <v>13</v>
      </c>
      <c r="D51" s="61" t="s">
        <v>145</v>
      </c>
      <c r="E51" s="46"/>
      <c r="F51" s="46"/>
      <c r="G51" s="46"/>
      <c r="H51" s="46"/>
      <c r="I51" s="75" t="s">
        <v>69</v>
      </c>
      <c r="J51" s="61" t="s">
        <v>94</v>
      </c>
      <c r="K51" s="63">
        <v>236629145349</v>
      </c>
      <c r="L51" s="46" t="s">
        <v>86</v>
      </c>
      <c r="M51" s="46" t="s">
        <v>86</v>
      </c>
      <c r="N51" s="66" t="s">
        <v>86</v>
      </c>
      <c r="O51" s="66" t="s">
        <v>86</v>
      </c>
      <c r="P51" s="66" t="s">
        <v>86</v>
      </c>
      <c r="Q51" s="66" t="s">
        <v>86</v>
      </c>
      <c r="R51" s="66" t="s">
        <v>86</v>
      </c>
      <c r="S51" s="66" t="s">
        <v>86</v>
      </c>
      <c r="T51" s="66" t="s">
        <v>86</v>
      </c>
      <c r="U51" s="66" t="s">
        <v>86</v>
      </c>
      <c r="V51" s="66" t="s">
        <v>86</v>
      </c>
      <c r="W51" s="66" t="s">
        <v>86</v>
      </c>
      <c r="X51" s="66" t="s">
        <v>86</v>
      </c>
      <c r="Y51" s="66" t="s">
        <v>86</v>
      </c>
      <c r="Z51" s="66" t="s">
        <v>86</v>
      </c>
      <c r="AA51" s="66" t="s">
        <v>86</v>
      </c>
      <c r="AB51" s="66" t="s">
        <v>86</v>
      </c>
      <c r="AC51" s="66" t="s">
        <v>86</v>
      </c>
      <c r="AD51" s="66" t="s">
        <v>86</v>
      </c>
      <c r="AE51" s="66" t="s">
        <v>86</v>
      </c>
      <c r="AF51" s="66" t="s">
        <v>86</v>
      </c>
      <c r="AG51" s="66" t="s">
        <v>86</v>
      </c>
      <c r="AH51" s="66" t="s">
        <v>86</v>
      </c>
      <c r="AI51" s="66" t="s">
        <v>86</v>
      </c>
      <c r="AJ51" s="66" t="s">
        <v>86</v>
      </c>
      <c r="AK51" s="66" t="s">
        <v>86</v>
      </c>
      <c r="AL51" s="66" t="s">
        <v>86</v>
      </c>
      <c r="AM51" s="66" t="s">
        <v>86</v>
      </c>
      <c r="AN51" s="66" t="s">
        <v>86</v>
      </c>
      <c r="AO51" s="66" t="s">
        <v>86</v>
      </c>
      <c r="AP51" s="66" t="s">
        <v>86</v>
      </c>
    </row>
  </sheetData>
  <dataValidations count="1">
    <dataValidation type="list" allowBlank="1" showInputMessage="1" showErrorMessage="1" sqref="C1:C48">
      <formula1>SeriesTypes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7"/>
  <sheetViews>
    <sheetView workbookViewId="0"/>
  </sheetViews>
  <sheetFormatPr defaultRowHeight="15" x14ac:dyDescent="0.25"/>
  <cols>
    <col min="1" max="1" width="35.85546875" customWidth="1"/>
    <col min="2" max="2" width="21.7109375" customWidth="1"/>
    <col min="3" max="3" width="20.42578125" customWidth="1"/>
    <col min="4" max="4" width="15.85546875" customWidth="1"/>
    <col min="5" max="5" width="37.7109375" customWidth="1"/>
    <col min="6" max="6" width="36.28515625" customWidth="1"/>
  </cols>
  <sheetData>
    <row r="1" spans="1:6" x14ac:dyDescent="0.25">
      <c r="A1" s="2" t="s">
        <v>274</v>
      </c>
      <c r="B1" s="2" t="s">
        <v>275</v>
      </c>
      <c r="C1" s="2" t="s">
        <v>276</v>
      </c>
      <c r="D1" s="2" t="s">
        <v>277</v>
      </c>
      <c r="E1" s="2" t="s">
        <v>278</v>
      </c>
      <c r="F1" s="2" t="s">
        <v>279</v>
      </c>
    </row>
    <row r="2" spans="1:6" x14ac:dyDescent="0.25">
      <c r="A2" t="s">
        <v>280</v>
      </c>
      <c r="B2" t="s">
        <v>281</v>
      </c>
      <c r="C2" s="9" t="s">
        <v>209</v>
      </c>
      <c r="D2">
        <v>1.45</v>
      </c>
      <c r="E2" t="s">
        <v>282</v>
      </c>
      <c r="F2" t="s">
        <v>283</v>
      </c>
    </row>
    <row r="3" spans="1:6" x14ac:dyDescent="0.25">
      <c r="C3" s="9"/>
      <c r="F3" t="s">
        <v>284</v>
      </c>
    </row>
    <row r="4" spans="1:6" x14ac:dyDescent="0.25">
      <c r="C4" s="9"/>
      <c r="F4" t="s">
        <v>285</v>
      </c>
    </row>
    <row r="5" spans="1:6" x14ac:dyDescent="0.25">
      <c r="A5" t="s">
        <v>286</v>
      </c>
      <c r="B5" t="s">
        <v>281</v>
      </c>
      <c r="C5" s="9" t="s">
        <v>287</v>
      </c>
      <c r="D5">
        <v>0.69</v>
      </c>
      <c r="E5" t="s">
        <v>288</v>
      </c>
      <c r="F5" t="s">
        <v>289</v>
      </c>
    </row>
    <row r="6" spans="1:6" x14ac:dyDescent="0.25">
      <c r="F6" t="s">
        <v>290</v>
      </c>
    </row>
    <row r="7" spans="1:6" x14ac:dyDescent="0.25">
      <c r="F7" t="s">
        <v>291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G26"/>
  <sheetViews>
    <sheetView workbookViewId="0"/>
  </sheetViews>
  <sheetFormatPr defaultRowHeight="15" x14ac:dyDescent="0.25"/>
  <cols>
    <col min="1" max="1" width="6.5703125" bestFit="1" customWidth="1"/>
    <col min="2" max="32" width="7.5703125" bestFit="1" customWidth="1"/>
    <col min="33" max="33" width="5.42578125" bestFit="1" customWidth="1"/>
  </cols>
  <sheetData>
    <row r="1" spans="1:33" x14ac:dyDescent="0.25">
      <c r="B1" s="56" t="s">
        <v>292</v>
      </c>
      <c r="C1" s="56"/>
      <c r="D1" s="56"/>
      <c r="E1" s="56"/>
      <c r="F1" s="56"/>
      <c r="G1" s="56"/>
      <c r="H1" s="56"/>
      <c r="I1" s="56"/>
      <c r="J1" s="56"/>
      <c r="K1" s="56"/>
      <c r="L1" s="56"/>
      <c r="M1" s="56"/>
      <c r="N1" s="56"/>
      <c r="O1" s="56"/>
      <c r="P1" s="56"/>
      <c r="Q1" s="56"/>
      <c r="R1" s="56"/>
      <c r="S1" s="56"/>
      <c r="T1" s="56"/>
      <c r="U1" s="56"/>
      <c r="V1" s="56"/>
      <c r="W1" s="56"/>
      <c r="X1" s="56"/>
      <c r="Y1" s="56"/>
      <c r="Z1" s="56"/>
      <c r="AA1" s="56"/>
      <c r="AB1" s="56"/>
      <c r="AC1" s="56"/>
      <c r="AD1" s="56"/>
      <c r="AE1" s="56"/>
      <c r="AF1" s="56"/>
    </row>
    <row r="2" spans="1:33" x14ac:dyDescent="0.25">
      <c r="A2" t="s">
        <v>293</v>
      </c>
      <c r="B2" t="s">
        <v>27</v>
      </c>
      <c r="C2" t="s">
        <v>28</v>
      </c>
      <c r="D2" t="s">
        <v>29</v>
      </c>
      <c r="E2" t="s">
        <v>30</v>
      </c>
      <c r="F2" t="s">
        <v>31</v>
      </c>
      <c r="G2" t="s">
        <v>32</v>
      </c>
      <c r="H2" t="s">
        <v>33</v>
      </c>
      <c r="I2" t="s">
        <v>34</v>
      </c>
      <c r="J2" t="s">
        <v>35</v>
      </c>
      <c r="K2" t="s">
        <v>36</v>
      </c>
      <c r="L2" t="s">
        <v>37</v>
      </c>
      <c r="M2" t="s">
        <v>38</v>
      </c>
      <c r="N2" t="s">
        <v>39</v>
      </c>
      <c r="O2" t="s">
        <v>40</v>
      </c>
      <c r="P2" t="s">
        <v>41</v>
      </c>
      <c r="Q2" t="s">
        <v>42</v>
      </c>
      <c r="R2" t="s">
        <v>43</v>
      </c>
      <c r="S2" t="s">
        <v>44</v>
      </c>
      <c r="T2" t="s">
        <v>45</v>
      </c>
      <c r="U2" t="s">
        <v>46</v>
      </c>
      <c r="V2" t="s">
        <v>47</v>
      </c>
      <c r="W2" t="s">
        <v>48</v>
      </c>
      <c r="X2" t="s">
        <v>49</v>
      </c>
      <c r="Y2" t="s">
        <v>50</v>
      </c>
      <c r="Z2" t="s">
        <v>51</v>
      </c>
      <c r="AA2" t="s">
        <v>52</v>
      </c>
      <c r="AB2" t="s">
        <v>53</v>
      </c>
      <c r="AC2" t="s">
        <v>54</v>
      </c>
      <c r="AD2" t="s">
        <v>55</v>
      </c>
      <c r="AE2" t="s">
        <v>56</v>
      </c>
      <c r="AF2" t="s">
        <v>130</v>
      </c>
    </row>
    <row r="3" spans="1:33" x14ac:dyDescent="0.25">
      <c r="A3" t="s">
        <v>294</v>
      </c>
      <c r="B3" s="36">
        <v>0</v>
      </c>
      <c r="C3" s="36">
        <f t="shared" ref="C3:R16" si="0">MIN(1,ROUND((1+$B3)^C$26-1,5))</f>
        <v>0</v>
      </c>
      <c r="D3" s="36">
        <f t="shared" si="0"/>
        <v>0</v>
      </c>
      <c r="E3" s="36">
        <f t="shared" si="0"/>
        <v>0</v>
      </c>
      <c r="F3" s="36">
        <f t="shared" si="0"/>
        <v>0</v>
      </c>
      <c r="G3" s="36">
        <f t="shared" si="0"/>
        <v>0</v>
      </c>
      <c r="H3" s="36">
        <f t="shared" si="0"/>
        <v>0</v>
      </c>
      <c r="I3" s="36">
        <f t="shared" si="0"/>
        <v>0</v>
      </c>
      <c r="J3" s="36">
        <f t="shared" si="0"/>
        <v>0</v>
      </c>
      <c r="K3" s="36">
        <f t="shared" si="0"/>
        <v>0</v>
      </c>
      <c r="L3" s="36">
        <f t="shared" si="0"/>
        <v>0</v>
      </c>
      <c r="M3" s="36">
        <f t="shared" si="0"/>
        <v>0</v>
      </c>
      <c r="N3" s="36">
        <f t="shared" si="0"/>
        <v>0</v>
      </c>
      <c r="O3" s="36">
        <f t="shared" si="0"/>
        <v>0</v>
      </c>
      <c r="P3" s="36">
        <f t="shared" si="0"/>
        <v>0</v>
      </c>
      <c r="Q3" s="36">
        <f t="shared" si="0"/>
        <v>0</v>
      </c>
      <c r="R3" s="36">
        <f t="shared" si="0"/>
        <v>0</v>
      </c>
      <c r="S3" s="36">
        <f t="shared" ref="S3:AF16" si="1">MIN(1,ROUND((1+$B3)^S$26-1,5))</f>
        <v>0</v>
      </c>
      <c r="T3" s="36">
        <f t="shared" si="1"/>
        <v>0</v>
      </c>
      <c r="U3" s="36">
        <f t="shared" si="1"/>
        <v>0</v>
      </c>
      <c r="V3" s="36">
        <f t="shared" si="1"/>
        <v>0</v>
      </c>
      <c r="W3" s="36">
        <f t="shared" si="1"/>
        <v>0</v>
      </c>
      <c r="X3" s="36">
        <f t="shared" si="1"/>
        <v>0</v>
      </c>
      <c r="Y3" s="36">
        <f t="shared" si="1"/>
        <v>0</v>
      </c>
      <c r="Z3" s="36">
        <f t="shared" si="1"/>
        <v>0</v>
      </c>
      <c r="AA3" s="36">
        <f t="shared" si="1"/>
        <v>0</v>
      </c>
      <c r="AB3" s="36">
        <f t="shared" si="1"/>
        <v>0</v>
      </c>
      <c r="AC3" s="36">
        <f t="shared" si="1"/>
        <v>0</v>
      </c>
      <c r="AD3" s="36">
        <f t="shared" si="1"/>
        <v>0</v>
      </c>
      <c r="AE3" s="36">
        <f t="shared" si="1"/>
        <v>0</v>
      </c>
      <c r="AF3" s="36">
        <f t="shared" si="1"/>
        <v>0</v>
      </c>
      <c r="AG3" t="str">
        <f>A3</f>
        <v>AAA</v>
      </c>
    </row>
    <row r="4" spans="1:33" x14ac:dyDescent="0.25">
      <c r="A4" t="s">
        <v>295</v>
      </c>
      <c r="B4" s="36">
        <v>3.0000000000000001E-5</v>
      </c>
      <c r="C4" s="36">
        <f t="shared" si="0"/>
        <v>6.0000000000000002E-5</v>
      </c>
      <c r="D4" s="36">
        <f t="shared" si="0"/>
        <v>9.0000000000000006E-5</v>
      </c>
      <c r="E4" s="36">
        <f t="shared" si="0"/>
        <v>1.2E-4</v>
      </c>
      <c r="F4" s="36">
        <f t="shared" si="0"/>
        <v>1.4999999999999999E-4</v>
      </c>
      <c r="G4" s="36">
        <f t="shared" si="0"/>
        <v>1.8000000000000001E-4</v>
      </c>
      <c r="H4" s="36">
        <f t="shared" si="0"/>
        <v>2.1000000000000001E-4</v>
      </c>
      <c r="I4" s="36">
        <f t="shared" si="0"/>
        <v>2.4000000000000001E-4</v>
      </c>
      <c r="J4" s="36">
        <f t="shared" si="0"/>
        <v>2.7E-4</v>
      </c>
      <c r="K4" s="36">
        <f t="shared" si="0"/>
        <v>2.9999999999999997E-4</v>
      </c>
      <c r="L4" s="36">
        <f t="shared" si="0"/>
        <v>3.3E-4</v>
      </c>
      <c r="M4" s="36">
        <f t="shared" si="0"/>
        <v>3.6000000000000002E-4</v>
      </c>
      <c r="N4" s="36">
        <f t="shared" si="0"/>
        <v>3.8999999999999999E-4</v>
      </c>
      <c r="O4" s="36">
        <f t="shared" si="0"/>
        <v>4.2000000000000002E-4</v>
      </c>
      <c r="P4" s="36">
        <f t="shared" si="0"/>
        <v>4.4999999999999999E-4</v>
      </c>
      <c r="Q4" s="36">
        <f t="shared" si="0"/>
        <v>4.8000000000000001E-4</v>
      </c>
      <c r="R4" s="36">
        <f t="shared" si="0"/>
        <v>5.1000000000000004E-4</v>
      </c>
      <c r="S4" s="36">
        <f t="shared" si="1"/>
        <v>5.4000000000000001E-4</v>
      </c>
      <c r="T4" s="36">
        <f t="shared" si="1"/>
        <v>5.6999999999999998E-4</v>
      </c>
      <c r="U4" s="36">
        <f t="shared" si="1"/>
        <v>5.9999999999999995E-4</v>
      </c>
      <c r="V4" s="36">
        <f t="shared" si="1"/>
        <v>6.3000000000000003E-4</v>
      </c>
      <c r="W4" s="36">
        <f t="shared" si="1"/>
        <v>6.6E-4</v>
      </c>
      <c r="X4" s="36">
        <f t="shared" si="1"/>
        <v>6.8999999999999997E-4</v>
      </c>
      <c r="Y4" s="36">
        <f t="shared" si="1"/>
        <v>7.2000000000000005E-4</v>
      </c>
      <c r="Z4" s="36">
        <f t="shared" si="1"/>
        <v>7.5000000000000002E-4</v>
      </c>
      <c r="AA4" s="36">
        <f t="shared" si="1"/>
        <v>7.7999999999999999E-4</v>
      </c>
      <c r="AB4" s="36">
        <f t="shared" si="1"/>
        <v>8.0999999999999996E-4</v>
      </c>
      <c r="AC4" s="36">
        <f t="shared" si="1"/>
        <v>8.4000000000000003E-4</v>
      </c>
      <c r="AD4" s="36">
        <f t="shared" si="1"/>
        <v>8.7000000000000001E-4</v>
      </c>
      <c r="AE4" s="36">
        <f t="shared" si="1"/>
        <v>8.9999999999999998E-4</v>
      </c>
      <c r="AF4" s="36">
        <f t="shared" si="1"/>
        <v>9.3000000000000005E-4</v>
      </c>
      <c r="AG4" t="str">
        <f t="shared" ref="AG4:AG23" si="2">A4</f>
        <v>AA+</v>
      </c>
    </row>
    <row r="5" spans="1:33" x14ac:dyDescent="0.25">
      <c r="A5" t="s">
        <v>296</v>
      </c>
      <c r="B5" s="36">
        <v>6.0000000000000002E-5</v>
      </c>
      <c r="C5" s="36">
        <f t="shared" si="0"/>
        <v>1.2E-4</v>
      </c>
      <c r="D5" s="36">
        <f t="shared" si="0"/>
        <v>1.8000000000000001E-4</v>
      </c>
      <c r="E5" s="36">
        <f t="shared" si="0"/>
        <v>2.4000000000000001E-4</v>
      </c>
      <c r="F5" s="36">
        <f t="shared" si="0"/>
        <v>2.9999999999999997E-4</v>
      </c>
      <c r="G5" s="36">
        <f t="shared" si="0"/>
        <v>3.6000000000000002E-4</v>
      </c>
      <c r="H5" s="36">
        <f t="shared" si="0"/>
        <v>4.2000000000000002E-4</v>
      </c>
      <c r="I5" s="36">
        <f t="shared" si="0"/>
        <v>4.8000000000000001E-4</v>
      </c>
      <c r="J5" s="36">
        <f t="shared" si="0"/>
        <v>5.4000000000000001E-4</v>
      </c>
      <c r="K5" s="36">
        <f t="shared" si="0"/>
        <v>5.9999999999999995E-4</v>
      </c>
      <c r="L5" s="36">
        <f t="shared" si="0"/>
        <v>6.6E-4</v>
      </c>
      <c r="M5" s="36">
        <f t="shared" si="0"/>
        <v>7.2000000000000005E-4</v>
      </c>
      <c r="N5" s="36">
        <f t="shared" si="0"/>
        <v>7.7999999999999999E-4</v>
      </c>
      <c r="O5" s="36">
        <f t="shared" si="0"/>
        <v>8.4000000000000003E-4</v>
      </c>
      <c r="P5" s="36">
        <f t="shared" si="0"/>
        <v>8.9999999999999998E-4</v>
      </c>
      <c r="Q5" s="36">
        <f t="shared" si="0"/>
        <v>9.6000000000000002E-4</v>
      </c>
      <c r="R5" s="36">
        <f t="shared" si="0"/>
        <v>1.0200000000000001E-3</v>
      </c>
      <c r="S5" s="36">
        <f t="shared" si="1"/>
        <v>1.08E-3</v>
      </c>
      <c r="T5" s="36">
        <f t="shared" si="1"/>
        <v>1.14E-3</v>
      </c>
      <c r="U5" s="36">
        <f t="shared" si="1"/>
        <v>1.1999999999999999E-3</v>
      </c>
      <c r="V5" s="36">
        <f t="shared" si="1"/>
        <v>1.2600000000000001E-3</v>
      </c>
      <c r="W5" s="36">
        <f t="shared" si="1"/>
        <v>1.32E-3</v>
      </c>
      <c r="X5" s="36">
        <f t="shared" si="1"/>
        <v>1.3799999999999999E-3</v>
      </c>
      <c r="Y5" s="36">
        <f t="shared" si="1"/>
        <v>1.4400000000000001E-3</v>
      </c>
      <c r="Z5" s="36">
        <f t="shared" si="1"/>
        <v>1.5E-3</v>
      </c>
      <c r="AA5" s="36">
        <f t="shared" si="1"/>
        <v>1.56E-3</v>
      </c>
      <c r="AB5" s="36">
        <f t="shared" si="1"/>
        <v>1.6199999999999999E-3</v>
      </c>
      <c r="AC5" s="36">
        <f t="shared" si="1"/>
        <v>1.6800000000000001E-3</v>
      </c>
      <c r="AD5" s="36">
        <f t="shared" si="1"/>
        <v>1.74E-3</v>
      </c>
      <c r="AE5" s="36">
        <f t="shared" si="1"/>
        <v>1.8E-3</v>
      </c>
      <c r="AF5" s="36">
        <f t="shared" si="1"/>
        <v>1.8600000000000001E-3</v>
      </c>
      <c r="AG5" t="str">
        <f t="shared" si="2"/>
        <v>AA</v>
      </c>
    </row>
    <row r="6" spans="1:33" x14ac:dyDescent="0.25">
      <c r="A6" t="s">
        <v>297</v>
      </c>
      <c r="B6" s="36">
        <v>1E-4</v>
      </c>
      <c r="C6" s="36">
        <f t="shared" si="0"/>
        <v>2.0000000000000001E-4</v>
      </c>
      <c r="D6" s="36">
        <f t="shared" si="0"/>
        <v>2.9999999999999997E-4</v>
      </c>
      <c r="E6" s="36">
        <f t="shared" si="0"/>
        <v>4.0000000000000002E-4</v>
      </c>
      <c r="F6" s="36">
        <f t="shared" si="0"/>
        <v>5.0000000000000001E-4</v>
      </c>
      <c r="G6" s="36">
        <f t="shared" si="0"/>
        <v>5.9999999999999995E-4</v>
      </c>
      <c r="H6" s="36">
        <f t="shared" si="0"/>
        <v>6.9999999999999999E-4</v>
      </c>
      <c r="I6" s="36">
        <f t="shared" si="0"/>
        <v>8.0000000000000004E-4</v>
      </c>
      <c r="J6" s="36">
        <f t="shared" si="0"/>
        <v>8.9999999999999998E-4</v>
      </c>
      <c r="K6" s="36">
        <f t="shared" si="0"/>
        <v>1E-3</v>
      </c>
      <c r="L6" s="36">
        <f t="shared" si="0"/>
        <v>1.1000000000000001E-3</v>
      </c>
      <c r="M6" s="36">
        <f t="shared" si="0"/>
        <v>1.1999999999999999E-3</v>
      </c>
      <c r="N6" s="36">
        <f t="shared" si="0"/>
        <v>1.2999999999999999E-3</v>
      </c>
      <c r="O6" s="36">
        <f t="shared" si="0"/>
        <v>1.4E-3</v>
      </c>
      <c r="P6" s="36">
        <f t="shared" si="0"/>
        <v>1.5E-3</v>
      </c>
      <c r="Q6" s="36">
        <f t="shared" si="0"/>
        <v>1.6000000000000001E-3</v>
      </c>
      <c r="R6" s="36">
        <f t="shared" si="0"/>
        <v>1.6999999999999999E-3</v>
      </c>
      <c r="S6" s="36">
        <f t="shared" si="1"/>
        <v>1.8E-3</v>
      </c>
      <c r="T6" s="36">
        <f t="shared" si="1"/>
        <v>1.9E-3</v>
      </c>
      <c r="U6" s="36">
        <f t="shared" si="1"/>
        <v>2E-3</v>
      </c>
      <c r="V6" s="36">
        <f t="shared" si="1"/>
        <v>2.0999999999999999E-3</v>
      </c>
      <c r="W6" s="36">
        <f t="shared" si="1"/>
        <v>2.2000000000000001E-3</v>
      </c>
      <c r="X6" s="36">
        <f t="shared" si="1"/>
        <v>2.3E-3</v>
      </c>
      <c r="Y6" s="36">
        <f t="shared" si="1"/>
        <v>2.3999999999999998E-3</v>
      </c>
      <c r="Z6" s="36">
        <f t="shared" si="1"/>
        <v>2.5000000000000001E-3</v>
      </c>
      <c r="AA6" s="36">
        <f t="shared" si="1"/>
        <v>2.5999999999999999E-3</v>
      </c>
      <c r="AB6" s="36">
        <f t="shared" si="1"/>
        <v>2.7000000000000001E-3</v>
      </c>
      <c r="AC6" s="36">
        <f t="shared" si="1"/>
        <v>2.8E-3</v>
      </c>
      <c r="AD6" s="36">
        <f t="shared" si="1"/>
        <v>2.8999999999999998E-3</v>
      </c>
      <c r="AE6" s="36">
        <f t="shared" si="1"/>
        <v>3.0000000000000001E-3</v>
      </c>
      <c r="AF6" s="36">
        <f t="shared" si="1"/>
        <v>3.0999999999999999E-3</v>
      </c>
      <c r="AG6" t="str">
        <f t="shared" si="2"/>
        <v>AA-</v>
      </c>
    </row>
    <row r="7" spans="1:33" x14ac:dyDescent="0.25">
      <c r="A7" t="s">
        <v>298</v>
      </c>
      <c r="B7" s="36">
        <v>2.0000000000000001E-4</v>
      </c>
      <c r="C7" s="36">
        <f t="shared" si="0"/>
        <v>4.0000000000000002E-4</v>
      </c>
      <c r="D7" s="36">
        <f t="shared" si="0"/>
        <v>5.9999999999999995E-4</v>
      </c>
      <c r="E7" s="36">
        <f t="shared" si="0"/>
        <v>8.0000000000000004E-4</v>
      </c>
      <c r="F7" s="36">
        <f t="shared" si="0"/>
        <v>1E-3</v>
      </c>
      <c r="G7" s="36">
        <f t="shared" si="0"/>
        <v>1.1999999999999999E-3</v>
      </c>
      <c r="H7" s="36">
        <f t="shared" si="0"/>
        <v>1.4E-3</v>
      </c>
      <c r="I7" s="36">
        <f t="shared" si="0"/>
        <v>1.6000000000000001E-3</v>
      </c>
      <c r="J7" s="36">
        <f t="shared" si="0"/>
        <v>1.8E-3</v>
      </c>
      <c r="K7" s="36">
        <f t="shared" si="0"/>
        <v>2E-3</v>
      </c>
      <c r="L7" s="36">
        <f t="shared" si="0"/>
        <v>2.2000000000000001E-3</v>
      </c>
      <c r="M7" s="36">
        <f t="shared" si="0"/>
        <v>2.3999999999999998E-3</v>
      </c>
      <c r="N7" s="36">
        <f t="shared" si="0"/>
        <v>2.5999999999999999E-3</v>
      </c>
      <c r="O7" s="36">
        <f t="shared" si="0"/>
        <v>2.8E-3</v>
      </c>
      <c r="P7" s="36">
        <f t="shared" si="0"/>
        <v>3.0000000000000001E-3</v>
      </c>
      <c r="Q7" s="36">
        <f t="shared" si="0"/>
        <v>3.2000000000000002E-3</v>
      </c>
      <c r="R7" s="36">
        <f t="shared" si="0"/>
        <v>3.4099999999999998E-3</v>
      </c>
      <c r="S7" s="36">
        <f t="shared" si="1"/>
        <v>3.6099999999999999E-3</v>
      </c>
      <c r="T7" s="36">
        <f t="shared" si="1"/>
        <v>3.81E-3</v>
      </c>
      <c r="U7" s="36">
        <f t="shared" si="1"/>
        <v>4.0099999999999997E-3</v>
      </c>
      <c r="V7" s="36">
        <f t="shared" si="1"/>
        <v>4.2100000000000002E-3</v>
      </c>
      <c r="W7" s="36">
        <f t="shared" si="1"/>
        <v>4.4099999999999999E-3</v>
      </c>
      <c r="X7" s="36">
        <f t="shared" si="1"/>
        <v>4.6100000000000004E-3</v>
      </c>
      <c r="Y7" s="36">
        <f t="shared" si="1"/>
        <v>4.81E-3</v>
      </c>
      <c r="Z7" s="36">
        <f t="shared" si="1"/>
        <v>5.0099999999999997E-3</v>
      </c>
      <c r="AA7" s="36">
        <f t="shared" si="1"/>
        <v>5.2100000000000002E-3</v>
      </c>
      <c r="AB7" s="36">
        <f t="shared" si="1"/>
        <v>5.4099999999999999E-3</v>
      </c>
      <c r="AC7" s="36">
        <f t="shared" si="1"/>
        <v>5.62E-3</v>
      </c>
      <c r="AD7" s="36">
        <f t="shared" si="1"/>
        <v>5.8199999999999997E-3</v>
      </c>
      <c r="AE7" s="36">
        <f t="shared" si="1"/>
        <v>6.0200000000000002E-3</v>
      </c>
      <c r="AF7" s="36">
        <f t="shared" si="1"/>
        <v>6.2199999999999998E-3</v>
      </c>
      <c r="AG7" t="str">
        <f t="shared" si="2"/>
        <v>A+</v>
      </c>
    </row>
    <row r="8" spans="1:33" x14ac:dyDescent="0.25">
      <c r="A8" t="s">
        <v>299</v>
      </c>
      <c r="B8" s="36">
        <v>4.0000000000000002E-4</v>
      </c>
      <c r="C8" s="36">
        <f t="shared" si="0"/>
        <v>8.0000000000000004E-4</v>
      </c>
      <c r="D8" s="36">
        <f t="shared" si="0"/>
        <v>1.1999999999999999E-3</v>
      </c>
      <c r="E8" s="36">
        <f t="shared" si="0"/>
        <v>1.6000000000000001E-3</v>
      </c>
      <c r="F8" s="36">
        <f t="shared" si="0"/>
        <v>2E-3</v>
      </c>
      <c r="G8" s="36">
        <f t="shared" si="0"/>
        <v>2.3999999999999998E-3</v>
      </c>
      <c r="H8" s="36">
        <f t="shared" si="0"/>
        <v>2.8E-3</v>
      </c>
      <c r="I8" s="36">
        <f t="shared" si="0"/>
        <v>3.2000000000000002E-3</v>
      </c>
      <c r="J8" s="36">
        <f t="shared" si="0"/>
        <v>3.6099999999999999E-3</v>
      </c>
      <c r="K8" s="36">
        <f t="shared" si="0"/>
        <v>4.0099999999999997E-3</v>
      </c>
      <c r="L8" s="36">
        <f t="shared" si="0"/>
        <v>4.4099999999999999E-3</v>
      </c>
      <c r="M8" s="36">
        <f t="shared" si="0"/>
        <v>4.81E-3</v>
      </c>
      <c r="N8" s="36">
        <f t="shared" si="0"/>
        <v>5.2100000000000002E-3</v>
      </c>
      <c r="O8" s="36">
        <f t="shared" si="0"/>
        <v>5.6100000000000004E-3</v>
      </c>
      <c r="P8" s="36">
        <f t="shared" si="0"/>
        <v>6.0200000000000002E-3</v>
      </c>
      <c r="Q8" s="36">
        <f t="shared" si="0"/>
        <v>6.4200000000000004E-3</v>
      </c>
      <c r="R8" s="36">
        <f t="shared" si="0"/>
        <v>6.8199999999999997E-3</v>
      </c>
      <c r="S8" s="36">
        <f t="shared" si="1"/>
        <v>7.2199999999999999E-3</v>
      </c>
      <c r="T8" s="36">
        <f t="shared" si="1"/>
        <v>7.6299999999999996E-3</v>
      </c>
      <c r="U8" s="36">
        <f t="shared" si="1"/>
        <v>8.0300000000000007E-3</v>
      </c>
      <c r="V8" s="36">
        <f t="shared" si="1"/>
        <v>8.43E-3</v>
      </c>
      <c r="W8" s="36">
        <f t="shared" si="1"/>
        <v>8.8400000000000006E-3</v>
      </c>
      <c r="X8" s="36">
        <f t="shared" si="1"/>
        <v>9.2399999999999999E-3</v>
      </c>
      <c r="Y8" s="36">
        <f t="shared" si="1"/>
        <v>9.6399999999999993E-3</v>
      </c>
      <c r="Z8" s="36">
        <f t="shared" si="1"/>
        <v>1.005E-2</v>
      </c>
      <c r="AA8" s="36">
        <f t="shared" si="1"/>
        <v>1.0449999999999999E-2</v>
      </c>
      <c r="AB8" s="36">
        <f t="shared" si="1"/>
        <v>1.086E-2</v>
      </c>
      <c r="AC8" s="36">
        <f t="shared" si="1"/>
        <v>1.1259999999999999E-2</v>
      </c>
      <c r="AD8" s="36">
        <f t="shared" si="1"/>
        <v>1.167E-2</v>
      </c>
      <c r="AE8" s="36">
        <f t="shared" si="1"/>
        <v>1.2070000000000001E-2</v>
      </c>
      <c r="AF8" s="36">
        <f t="shared" si="1"/>
        <v>1.247E-2</v>
      </c>
      <c r="AG8" t="str">
        <f t="shared" si="2"/>
        <v>A</v>
      </c>
    </row>
    <row r="9" spans="1:33" x14ac:dyDescent="0.25">
      <c r="A9" t="s">
        <v>300</v>
      </c>
      <c r="B9" s="36">
        <v>6.9999999999999999E-4</v>
      </c>
      <c r="C9" s="36">
        <f t="shared" si="0"/>
        <v>1.4E-3</v>
      </c>
      <c r="D9" s="36">
        <f t="shared" si="0"/>
        <v>2.0999999999999999E-3</v>
      </c>
      <c r="E9" s="36">
        <f t="shared" si="0"/>
        <v>2.8E-3</v>
      </c>
      <c r="F9" s="36">
        <f t="shared" si="0"/>
        <v>3.5000000000000001E-3</v>
      </c>
      <c r="G9" s="36">
        <f t="shared" si="0"/>
        <v>4.2100000000000002E-3</v>
      </c>
      <c r="H9" s="36">
        <f t="shared" si="0"/>
        <v>4.9100000000000003E-3</v>
      </c>
      <c r="I9" s="36">
        <f t="shared" si="0"/>
        <v>5.6100000000000004E-3</v>
      </c>
      <c r="J9" s="36">
        <f t="shared" si="0"/>
        <v>6.3200000000000001E-3</v>
      </c>
      <c r="K9" s="36">
        <f t="shared" si="0"/>
        <v>7.0200000000000002E-3</v>
      </c>
      <c r="L9" s="36">
        <f t="shared" si="0"/>
        <v>7.7299999999999999E-3</v>
      </c>
      <c r="M9" s="36">
        <f t="shared" si="0"/>
        <v>8.43E-3</v>
      </c>
      <c r="N9" s="36">
        <f t="shared" si="0"/>
        <v>9.1400000000000006E-3</v>
      </c>
      <c r="O9" s="36">
        <f t="shared" si="0"/>
        <v>9.8399999999999998E-3</v>
      </c>
      <c r="P9" s="36">
        <f t="shared" si="0"/>
        <v>1.055E-2</v>
      </c>
      <c r="Q9" s="36">
        <f t="shared" si="0"/>
        <v>1.1259999999999999E-2</v>
      </c>
      <c r="R9" s="36">
        <f t="shared" si="0"/>
        <v>1.197E-2</v>
      </c>
      <c r="S9" s="36">
        <f t="shared" si="1"/>
        <v>1.268E-2</v>
      </c>
      <c r="T9" s="36">
        <f t="shared" si="1"/>
        <v>1.338E-2</v>
      </c>
      <c r="U9" s="36">
        <f t="shared" si="1"/>
        <v>1.409E-2</v>
      </c>
      <c r="V9" s="36">
        <f t="shared" si="1"/>
        <v>1.4800000000000001E-2</v>
      </c>
      <c r="W9" s="36">
        <f t="shared" si="1"/>
        <v>1.5509999999999999E-2</v>
      </c>
      <c r="X9" s="36">
        <f t="shared" si="1"/>
        <v>1.6219999999999998E-2</v>
      </c>
      <c r="Y9" s="36">
        <f t="shared" si="1"/>
        <v>1.694E-2</v>
      </c>
      <c r="Z9" s="36">
        <f t="shared" si="1"/>
        <v>1.7649999999999999E-2</v>
      </c>
      <c r="AA9" s="36">
        <f t="shared" si="1"/>
        <v>1.8360000000000001E-2</v>
      </c>
      <c r="AB9" s="36">
        <f t="shared" si="1"/>
        <v>1.907E-2</v>
      </c>
      <c r="AC9" s="36">
        <f t="shared" si="1"/>
        <v>1.9789999999999999E-2</v>
      </c>
      <c r="AD9" s="36">
        <f t="shared" si="1"/>
        <v>2.0500000000000001E-2</v>
      </c>
      <c r="AE9" s="36">
        <f t="shared" si="1"/>
        <v>2.121E-2</v>
      </c>
      <c r="AF9" s="36">
        <f t="shared" si="1"/>
        <v>2.1930000000000002E-2</v>
      </c>
      <c r="AG9" t="str">
        <f t="shared" si="2"/>
        <v>A-</v>
      </c>
    </row>
    <row r="10" spans="1:33" x14ac:dyDescent="0.25">
      <c r="A10" t="s">
        <v>301</v>
      </c>
      <c r="B10" s="36">
        <v>1E-4</v>
      </c>
      <c r="C10" s="36">
        <f t="shared" si="0"/>
        <v>2.0000000000000001E-4</v>
      </c>
      <c r="D10" s="36">
        <f t="shared" si="0"/>
        <v>2.9999999999999997E-4</v>
      </c>
      <c r="E10" s="36">
        <f t="shared" si="0"/>
        <v>4.0000000000000002E-4</v>
      </c>
      <c r="F10" s="36">
        <f t="shared" si="0"/>
        <v>5.0000000000000001E-4</v>
      </c>
      <c r="G10" s="36">
        <f t="shared" si="0"/>
        <v>5.9999999999999995E-4</v>
      </c>
      <c r="H10" s="36">
        <f t="shared" si="0"/>
        <v>6.9999999999999999E-4</v>
      </c>
      <c r="I10" s="36">
        <f t="shared" si="0"/>
        <v>8.0000000000000004E-4</v>
      </c>
      <c r="J10" s="36">
        <f t="shared" si="0"/>
        <v>8.9999999999999998E-4</v>
      </c>
      <c r="K10" s="36">
        <f t="shared" si="0"/>
        <v>1E-3</v>
      </c>
      <c r="L10" s="36">
        <f t="shared" si="0"/>
        <v>1.1000000000000001E-3</v>
      </c>
      <c r="M10" s="36">
        <f t="shared" si="0"/>
        <v>1.1999999999999999E-3</v>
      </c>
      <c r="N10" s="36">
        <f t="shared" si="0"/>
        <v>1.2999999999999999E-3</v>
      </c>
      <c r="O10" s="36">
        <f t="shared" si="0"/>
        <v>1.4E-3</v>
      </c>
      <c r="P10" s="36">
        <f t="shared" si="0"/>
        <v>1.5E-3</v>
      </c>
      <c r="Q10" s="36">
        <f t="shared" si="0"/>
        <v>1.6000000000000001E-3</v>
      </c>
      <c r="R10" s="36">
        <f t="shared" si="0"/>
        <v>1.6999999999999999E-3</v>
      </c>
      <c r="S10" s="36">
        <f t="shared" si="1"/>
        <v>1.8E-3</v>
      </c>
      <c r="T10" s="36">
        <f t="shared" si="1"/>
        <v>1.9E-3</v>
      </c>
      <c r="U10" s="36">
        <f t="shared" si="1"/>
        <v>2E-3</v>
      </c>
      <c r="V10" s="36">
        <f t="shared" si="1"/>
        <v>2.0999999999999999E-3</v>
      </c>
      <c r="W10" s="36">
        <f t="shared" si="1"/>
        <v>2.2000000000000001E-3</v>
      </c>
      <c r="X10" s="36">
        <f t="shared" si="1"/>
        <v>2.3E-3</v>
      </c>
      <c r="Y10" s="36">
        <f t="shared" si="1"/>
        <v>2.3999999999999998E-3</v>
      </c>
      <c r="Z10" s="36">
        <f t="shared" si="1"/>
        <v>2.5000000000000001E-3</v>
      </c>
      <c r="AA10" s="36">
        <f t="shared" si="1"/>
        <v>2.5999999999999999E-3</v>
      </c>
      <c r="AB10" s="36">
        <f t="shared" si="1"/>
        <v>2.7000000000000001E-3</v>
      </c>
      <c r="AC10" s="36">
        <f t="shared" si="1"/>
        <v>2.8E-3</v>
      </c>
      <c r="AD10" s="36">
        <f t="shared" si="1"/>
        <v>2.8999999999999998E-3</v>
      </c>
      <c r="AE10" s="36">
        <f t="shared" si="1"/>
        <v>3.0000000000000001E-3</v>
      </c>
      <c r="AF10" s="36">
        <f t="shared" si="1"/>
        <v>3.0999999999999999E-3</v>
      </c>
      <c r="AG10" t="str">
        <f t="shared" si="2"/>
        <v>BBB+</v>
      </c>
    </row>
    <row r="11" spans="1:33" x14ac:dyDescent="0.25">
      <c r="A11" t="s">
        <v>302</v>
      </c>
      <c r="B11" s="36">
        <v>1.5E-3</v>
      </c>
      <c r="C11" s="36">
        <f t="shared" si="0"/>
        <v>3.0000000000000001E-3</v>
      </c>
      <c r="D11" s="36">
        <f t="shared" si="0"/>
        <v>4.5100000000000001E-3</v>
      </c>
      <c r="E11" s="36">
        <f t="shared" si="0"/>
        <v>6.0099999999999997E-3</v>
      </c>
      <c r="F11" s="36">
        <f t="shared" si="0"/>
        <v>7.5199999999999998E-3</v>
      </c>
      <c r="G11" s="36">
        <f t="shared" si="0"/>
        <v>9.0299999999999998E-3</v>
      </c>
      <c r="H11" s="36">
        <f t="shared" si="0"/>
        <v>1.055E-2</v>
      </c>
      <c r="I11" s="36">
        <f t="shared" si="0"/>
        <v>1.206E-2</v>
      </c>
      <c r="J11" s="36">
        <f t="shared" si="0"/>
        <v>1.358E-2</v>
      </c>
      <c r="K11" s="36">
        <f t="shared" si="0"/>
        <v>1.5100000000000001E-2</v>
      </c>
      <c r="L11" s="36">
        <f t="shared" si="0"/>
        <v>1.6619999999999999E-2</v>
      </c>
      <c r="M11" s="36">
        <f t="shared" si="0"/>
        <v>1.8149999999999999E-2</v>
      </c>
      <c r="N11" s="36">
        <f t="shared" si="0"/>
        <v>1.968E-2</v>
      </c>
      <c r="O11" s="36">
        <f t="shared" si="0"/>
        <v>2.121E-2</v>
      </c>
      <c r="P11" s="36">
        <f t="shared" si="0"/>
        <v>2.274E-2</v>
      </c>
      <c r="Q11" s="36">
        <f t="shared" si="0"/>
        <v>2.427E-2</v>
      </c>
      <c r="R11" s="36">
        <f t="shared" si="0"/>
        <v>2.581E-2</v>
      </c>
      <c r="S11" s="36">
        <f t="shared" si="1"/>
        <v>2.7349999999999999E-2</v>
      </c>
      <c r="T11" s="36">
        <f t="shared" si="1"/>
        <v>2.8889999999999999E-2</v>
      </c>
      <c r="U11" s="36">
        <f t="shared" si="1"/>
        <v>3.0429999999999999E-2</v>
      </c>
      <c r="V11" s="36">
        <f t="shared" si="1"/>
        <v>3.1980000000000001E-2</v>
      </c>
      <c r="W11" s="36">
        <f t="shared" si="1"/>
        <v>3.3520000000000001E-2</v>
      </c>
      <c r="X11" s="36">
        <f t="shared" si="1"/>
        <v>3.508E-2</v>
      </c>
      <c r="Y11" s="36">
        <f t="shared" si="1"/>
        <v>3.6630000000000003E-2</v>
      </c>
      <c r="Z11" s="36">
        <f t="shared" si="1"/>
        <v>3.8179999999999999E-2</v>
      </c>
      <c r="AA11" s="36">
        <f t="shared" si="1"/>
        <v>3.9739999999999998E-2</v>
      </c>
      <c r="AB11" s="36">
        <f t="shared" si="1"/>
        <v>4.1300000000000003E-2</v>
      </c>
      <c r="AC11" s="36">
        <f t="shared" si="1"/>
        <v>4.2860000000000002E-2</v>
      </c>
      <c r="AD11" s="36">
        <f t="shared" si="1"/>
        <v>4.4429999999999997E-2</v>
      </c>
      <c r="AE11" s="36">
        <f t="shared" si="1"/>
        <v>4.5990000000000003E-2</v>
      </c>
      <c r="AF11" s="36">
        <f t="shared" si="1"/>
        <v>4.7559999999999998E-2</v>
      </c>
      <c r="AG11" t="str">
        <f t="shared" si="2"/>
        <v>BBB</v>
      </c>
    </row>
    <row r="12" spans="1:33" x14ac:dyDescent="0.25">
      <c r="A12" t="s">
        <v>303</v>
      </c>
      <c r="B12" s="36">
        <v>2.5000000000000001E-3</v>
      </c>
      <c r="C12" s="36">
        <f t="shared" si="0"/>
        <v>5.0099999999999997E-3</v>
      </c>
      <c r="D12" s="36">
        <f t="shared" si="0"/>
        <v>7.5199999999999998E-3</v>
      </c>
      <c r="E12" s="36">
        <f t="shared" si="0"/>
        <v>1.004E-2</v>
      </c>
      <c r="F12" s="36">
        <f t="shared" si="0"/>
        <v>1.256E-2</v>
      </c>
      <c r="G12" s="36">
        <f t="shared" si="0"/>
        <v>1.5089999999999999E-2</v>
      </c>
      <c r="H12" s="36">
        <f t="shared" si="0"/>
        <v>1.763E-2</v>
      </c>
      <c r="I12" s="36">
        <f t="shared" si="0"/>
        <v>2.018E-2</v>
      </c>
      <c r="J12" s="36">
        <f t="shared" si="0"/>
        <v>2.273E-2</v>
      </c>
      <c r="K12" s="36">
        <f t="shared" si="0"/>
        <v>2.528E-2</v>
      </c>
      <c r="L12" s="36">
        <f t="shared" si="0"/>
        <v>2.785E-2</v>
      </c>
      <c r="M12" s="36">
        <f t="shared" si="0"/>
        <v>3.0419999999999999E-2</v>
      </c>
      <c r="N12" s="36">
        <f t="shared" si="0"/>
        <v>3.2989999999999998E-2</v>
      </c>
      <c r="O12" s="36">
        <f t="shared" si="0"/>
        <v>3.5569999999999997E-2</v>
      </c>
      <c r="P12" s="36">
        <f t="shared" si="0"/>
        <v>3.8159999999999999E-2</v>
      </c>
      <c r="Q12" s="36">
        <f t="shared" si="0"/>
        <v>4.0759999999999998E-2</v>
      </c>
      <c r="R12" s="36">
        <f t="shared" si="0"/>
        <v>4.3360000000000003E-2</v>
      </c>
      <c r="S12" s="36">
        <f t="shared" si="1"/>
        <v>4.5969999999999997E-2</v>
      </c>
      <c r="T12" s="36">
        <f t="shared" si="1"/>
        <v>4.8579999999999998E-2</v>
      </c>
      <c r="U12" s="36">
        <f t="shared" si="1"/>
        <v>5.1209999999999999E-2</v>
      </c>
      <c r="V12" s="36">
        <f t="shared" si="1"/>
        <v>5.3830000000000003E-2</v>
      </c>
      <c r="W12" s="36">
        <f t="shared" si="1"/>
        <v>5.6469999999999999E-2</v>
      </c>
      <c r="X12" s="36">
        <f t="shared" si="1"/>
        <v>5.9110000000000003E-2</v>
      </c>
      <c r="Y12" s="36">
        <f t="shared" si="1"/>
        <v>6.1760000000000002E-2</v>
      </c>
      <c r="Z12" s="36">
        <f t="shared" si="1"/>
        <v>6.4409999999999995E-2</v>
      </c>
      <c r="AA12" s="36">
        <f t="shared" si="1"/>
        <v>6.7070000000000005E-2</v>
      </c>
      <c r="AB12" s="36">
        <f t="shared" si="1"/>
        <v>6.9739999999999996E-2</v>
      </c>
      <c r="AC12" s="36">
        <f t="shared" si="1"/>
        <v>7.2410000000000002E-2</v>
      </c>
      <c r="AD12" s="36">
        <f t="shared" si="1"/>
        <v>7.51E-2</v>
      </c>
      <c r="AE12" s="36">
        <f t="shared" si="1"/>
        <v>7.7780000000000002E-2</v>
      </c>
      <c r="AF12" s="36">
        <f t="shared" si="1"/>
        <v>8.0479999999999996E-2</v>
      </c>
      <c r="AG12" t="str">
        <f t="shared" si="2"/>
        <v>BBB-</v>
      </c>
    </row>
    <row r="13" spans="1:33" x14ac:dyDescent="0.25">
      <c r="A13" t="s">
        <v>304</v>
      </c>
      <c r="B13" s="36">
        <v>4.0000000000000001E-3</v>
      </c>
      <c r="C13" s="36">
        <f t="shared" si="0"/>
        <v>8.0199999999999994E-3</v>
      </c>
      <c r="D13" s="36">
        <f t="shared" si="0"/>
        <v>1.205E-2</v>
      </c>
      <c r="E13" s="36">
        <f t="shared" si="0"/>
        <v>1.61E-2</v>
      </c>
      <c r="F13" s="36">
        <f t="shared" si="0"/>
        <v>2.0160000000000001E-2</v>
      </c>
      <c r="G13" s="36">
        <f t="shared" si="0"/>
        <v>2.4240000000000001E-2</v>
      </c>
      <c r="H13" s="36">
        <f t="shared" si="0"/>
        <v>2.8340000000000001E-2</v>
      </c>
      <c r="I13" s="36">
        <f t="shared" si="0"/>
        <v>3.245E-2</v>
      </c>
      <c r="J13" s="36">
        <f t="shared" si="0"/>
        <v>3.6580000000000001E-2</v>
      </c>
      <c r="K13" s="36">
        <f t="shared" si="0"/>
        <v>4.0730000000000002E-2</v>
      </c>
      <c r="L13" s="36">
        <f t="shared" si="0"/>
        <v>4.4889999999999999E-2</v>
      </c>
      <c r="M13" s="36">
        <f t="shared" si="0"/>
        <v>4.9070000000000003E-2</v>
      </c>
      <c r="N13" s="36">
        <f t="shared" si="0"/>
        <v>5.3269999999999998E-2</v>
      </c>
      <c r="O13" s="36">
        <f t="shared" si="0"/>
        <v>5.7480000000000003E-2</v>
      </c>
      <c r="P13" s="36">
        <f t="shared" si="0"/>
        <v>6.1710000000000001E-2</v>
      </c>
      <c r="Q13" s="36">
        <f t="shared" si="0"/>
        <v>6.5960000000000005E-2</v>
      </c>
      <c r="R13" s="36">
        <f t="shared" si="0"/>
        <v>7.0220000000000005E-2</v>
      </c>
      <c r="S13" s="36">
        <f t="shared" si="1"/>
        <v>7.4499999999999997E-2</v>
      </c>
      <c r="T13" s="36">
        <f t="shared" si="1"/>
        <v>7.8799999999999995E-2</v>
      </c>
      <c r="U13" s="36">
        <f t="shared" si="1"/>
        <v>8.3110000000000003E-2</v>
      </c>
      <c r="V13" s="36">
        <f t="shared" si="1"/>
        <v>8.745E-2</v>
      </c>
      <c r="W13" s="36">
        <f t="shared" si="1"/>
        <v>9.1800000000000007E-2</v>
      </c>
      <c r="X13" s="36">
        <f t="shared" si="1"/>
        <v>9.6159999999999995E-2</v>
      </c>
      <c r="Y13" s="36">
        <f t="shared" si="1"/>
        <v>0.10055</v>
      </c>
      <c r="Z13" s="36">
        <f t="shared" si="1"/>
        <v>0.10495</v>
      </c>
      <c r="AA13" s="36">
        <f t="shared" si="1"/>
        <v>0.10936999999999999</v>
      </c>
      <c r="AB13" s="36">
        <f t="shared" si="1"/>
        <v>0.11380999999999999</v>
      </c>
      <c r="AC13" s="36">
        <f t="shared" si="1"/>
        <v>0.11826</v>
      </c>
      <c r="AD13" s="36">
        <f t="shared" si="1"/>
        <v>0.12274</v>
      </c>
      <c r="AE13" s="36">
        <f t="shared" si="1"/>
        <v>0.12723000000000001</v>
      </c>
      <c r="AF13" s="36">
        <f t="shared" si="1"/>
        <v>0.13174</v>
      </c>
      <c r="AG13" t="str">
        <f t="shared" si="2"/>
        <v>BB+</v>
      </c>
    </row>
    <row r="14" spans="1:33" x14ac:dyDescent="0.25">
      <c r="A14" t="s">
        <v>305</v>
      </c>
      <c r="B14" s="36">
        <v>6.0000000000000001E-3</v>
      </c>
      <c r="C14" s="36">
        <f t="shared" si="0"/>
        <v>1.204E-2</v>
      </c>
      <c r="D14" s="36">
        <f t="shared" si="0"/>
        <v>1.8110000000000001E-2</v>
      </c>
      <c r="E14" s="36">
        <f t="shared" si="0"/>
        <v>2.4219999999999998E-2</v>
      </c>
      <c r="F14" s="36">
        <f t="shared" si="0"/>
        <v>3.0360000000000002E-2</v>
      </c>
      <c r="G14" s="36">
        <f t="shared" si="0"/>
        <v>3.6540000000000003E-2</v>
      </c>
      <c r="H14" s="36">
        <f t="shared" si="0"/>
        <v>4.2759999999999999E-2</v>
      </c>
      <c r="I14" s="36">
        <f t="shared" si="0"/>
        <v>4.9020000000000001E-2</v>
      </c>
      <c r="J14" s="36">
        <f t="shared" si="0"/>
        <v>5.5309999999999998E-2</v>
      </c>
      <c r="K14" s="36">
        <f t="shared" si="0"/>
        <v>6.1650000000000003E-2</v>
      </c>
      <c r="L14" s="36">
        <f t="shared" si="0"/>
        <v>6.8019999999999997E-2</v>
      </c>
      <c r="M14" s="36">
        <f t="shared" si="0"/>
        <v>7.442E-2</v>
      </c>
      <c r="N14" s="36">
        <f t="shared" si="0"/>
        <v>8.0869999999999997E-2</v>
      </c>
      <c r="O14" s="36">
        <f t="shared" si="0"/>
        <v>8.7359999999999993E-2</v>
      </c>
      <c r="P14" s="36">
        <f t="shared" si="0"/>
        <v>9.3880000000000005E-2</v>
      </c>
      <c r="Q14" s="36">
        <f t="shared" si="0"/>
        <v>0.10044</v>
      </c>
      <c r="R14" s="36">
        <f t="shared" si="0"/>
        <v>0.10705000000000001</v>
      </c>
      <c r="S14" s="36">
        <f t="shared" si="1"/>
        <v>0.11369</v>
      </c>
      <c r="T14" s="36">
        <f t="shared" si="1"/>
        <v>0.12037</v>
      </c>
      <c r="U14" s="36">
        <f t="shared" si="1"/>
        <v>0.12709000000000001</v>
      </c>
      <c r="V14" s="36">
        <f t="shared" si="1"/>
        <v>0.13386000000000001</v>
      </c>
      <c r="W14" s="36">
        <f t="shared" si="1"/>
        <v>0.14066000000000001</v>
      </c>
      <c r="X14" s="36">
        <f t="shared" si="1"/>
        <v>0.14749999999999999</v>
      </c>
      <c r="Y14" s="36">
        <f t="shared" si="1"/>
        <v>0.15439</v>
      </c>
      <c r="Z14" s="36">
        <f t="shared" si="1"/>
        <v>0.16131000000000001</v>
      </c>
      <c r="AA14" s="36">
        <f t="shared" si="1"/>
        <v>0.16828000000000001</v>
      </c>
      <c r="AB14" s="36">
        <f t="shared" si="1"/>
        <v>0.17529</v>
      </c>
      <c r="AC14" s="36">
        <f t="shared" si="1"/>
        <v>0.18234</v>
      </c>
      <c r="AD14" s="36">
        <f t="shared" si="1"/>
        <v>0.18944</v>
      </c>
      <c r="AE14" s="36">
        <f t="shared" si="1"/>
        <v>0.19656999999999999</v>
      </c>
      <c r="AF14" s="36">
        <f t="shared" si="1"/>
        <v>0.20374999999999999</v>
      </c>
      <c r="AG14" t="str">
        <f t="shared" si="2"/>
        <v>BB</v>
      </c>
    </row>
    <row r="15" spans="1:33" x14ac:dyDescent="0.25">
      <c r="A15" t="s">
        <v>306</v>
      </c>
      <c r="B15" s="36">
        <v>0.01</v>
      </c>
      <c r="C15" s="36">
        <f t="shared" si="0"/>
        <v>2.01E-2</v>
      </c>
      <c r="D15" s="36">
        <f t="shared" si="0"/>
        <v>3.0300000000000001E-2</v>
      </c>
      <c r="E15" s="36">
        <f t="shared" si="0"/>
        <v>4.0599999999999997E-2</v>
      </c>
      <c r="F15" s="36">
        <f t="shared" si="0"/>
        <v>5.101E-2</v>
      </c>
      <c r="G15" s="36">
        <f t="shared" si="0"/>
        <v>6.1519999999999998E-2</v>
      </c>
      <c r="H15" s="36">
        <f t="shared" si="0"/>
        <v>7.2139999999999996E-2</v>
      </c>
      <c r="I15" s="36">
        <f t="shared" si="0"/>
        <v>8.2860000000000003E-2</v>
      </c>
      <c r="J15" s="36">
        <f t="shared" si="0"/>
        <v>9.3689999999999996E-2</v>
      </c>
      <c r="K15" s="36">
        <f t="shared" si="0"/>
        <v>0.10462</v>
      </c>
      <c r="L15" s="36">
        <f t="shared" si="0"/>
        <v>0.11567</v>
      </c>
      <c r="M15" s="36">
        <f t="shared" si="0"/>
        <v>0.12683</v>
      </c>
      <c r="N15" s="36">
        <f t="shared" si="0"/>
        <v>0.13808999999999999</v>
      </c>
      <c r="O15" s="36">
        <f t="shared" si="0"/>
        <v>0.14946999999999999</v>
      </c>
      <c r="P15" s="36">
        <f t="shared" si="0"/>
        <v>0.16097</v>
      </c>
      <c r="Q15" s="36">
        <f t="shared" si="0"/>
        <v>0.17258000000000001</v>
      </c>
      <c r="R15" s="36">
        <f t="shared" si="0"/>
        <v>0.18429999999999999</v>
      </c>
      <c r="S15" s="36">
        <f t="shared" si="1"/>
        <v>0.19614999999999999</v>
      </c>
      <c r="T15" s="36">
        <f t="shared" si="1"/>
        <v>0.20810999999999999</v>
      </c>
      <c r="U15" s="36">
        <f t="shared" si="1"/>
        <v>0.22019</v>
      </c>
      <c r="V15" s="36">
        <f t="shared" si="1"/>
        <v>0.23239000000000001</v>
      </c>
      <c r="W15" s="36">
        <f t="shared" si="1"/>
        <v>0.24471999999999999</v>
      </c>
      <c r="X15" s="36">
        <f t="shared" si="1"/>
        <v>0.25716</v>
      </c>
      <c r="Y15" s="36">
        <f t="shared" si="1"/>
        <v>0.26973000000000003</v>
      </c>
      <c r="Z15" s="36">
        <f t="shared" si="1"/>
        <v>0.28243000000000001</v>
      </c>
      <c r="AA15" s="36">
        <f t="shared" si="1"/>
        <v>0.29526000000000002</v>
      </c>
      <c r="AB15" s="36">
        <f t="shared" si="1"/>
        <v>0.30820999999999998</v>
      </c>
      <c r="AC15" s="36">
        <f t="shared" si="1"/>
        <v>0.32129000000000002</v>
      </c>
      <c r="AD15" s="36">
        <f t="shared" si="1"/>
        <v>0.33450000000000002</v>
      </c>
      <c r="AE15" s="36">
        <f t="shared" si="1"/>
        <v>0.34784999999999999</v>
      </c>
      <c r="AF15" s="36">
        <f t="shared" si="1"/>
        <v>0.36132999999999998</v>
      </c>
      <c r="AG15" t="str">
        <f t="shared" si="2"/>
        <v>BB-</v>
      </c>
    </row>
    <row r="16" spans="1:33" x14ac:dyDescent="0.25">
      <c r="A16" t="s">
        <v>307</v>
      </c>
      <c r="B16" s="36">
        <v>1.4999999999999999E-2</v>
      </c>
      <c r="C16" s="36">
        <f t="shared" si="0"/>
        <v>3.022E-2</v>
      </c>
      <c r="D16" s="36">
        <f t="shared" si="0"/>
        <v>4.5679999999999998E-2</v>
      </c>
      <c r="E16" s="36">
        <f t="shared" si="0"/>
        <v>6.1359999999999998E-2</v>
      </c>
      <c r="F16" s="36">
        <f t="shared" si="0"/>
        <v>7.7280000000000001E-2</v>
      </c>
      <c r="G16" s="36">
        <f t="shared" si="0"/>
        <v>9.3439999999999995E-2</v>
      </c>
      <c r="H16" s="36">
        <f t="shared" si="0"/>
        <v>0.10983999999999999</v>
      </c>
      <c r="I16" s="36">
        <f t="shared" si="0"/>
        <v>0.12648999999999999</v>
      </c>
      <c r="J16" s="36">
        <f t="shared" si="0"/>
        <v>0.14338999999999999</v>
      </c>
      <c r="K16" s="36">
        <f t="shared" si="0"/>
        <v>0.16053999999999999</v>
      </c>
      <c r="L16" s="36">
        <f t="shared" si="0"/>
        <v>0.17795</v>
      </c>
      <c r="M16" s="36">
        <f t="shared" si="0"/>
        <v>0.19561999999999999</v>
      </c>
      <c r="N16" s="36">
        <f t="shared" si="0"/>
        <v>0.21354999999999999</v>
      </c>
      <c r="O16" s="36">
        <f t="shared" si="0"/>
        <v>0.23175999999999999</v>
      </c>
      <c r="P16" s="36">
        <f t="shared" si="0"/>
        <v>0.25023000000000001</v>
      </c>
      <c r="Q16" s="36">
        <f t="shared" si="0"/>
        <v>0.26899000000000001</v>
      </c>
      <c r="R16" s="36">
        <f t="shared" si="0"/>
        <v>0.28802</v>
      </c>
      <c r="S16" s="36">
        <f t="shared" si="1"/>
        <v>0.30734</v>
      </c>
      <c r="T16" s="36">
        <f t="shared" si="1"/>
        <v>0.32695000000000002</v>
      </c>
      <c r="U16" s="36">
        <f t="shared" si="1"/>
        <v>0.34686</v>
      </c>
      <c r="V16" s="36">
        <f t="shared" si="1"/>
        <v>0.36706</v>
      </c>
      <c r="W16" s="36">
        <f t="shared" si="1"/>
        <v>0.38756000000000002</v>
      </c>
      <c r="X16" s="36">
        <f t="shared" si="1"/>
        <v>0.40838000000000002</v>
      </c>
      <c r="Y16" s="36">
        <f t="shared" si="1"/>
        <v>0.42949999999999999</v>
      </c>
      <c r="Z16" s="36">
        <f t="shared" si="1"/>
        <v>0.45095000000000002</v>
      </c>
      <c r="AA16" s="36">
        <f t="shared" si="1"/>
        <v>0.47271000000000002</v>
      </c>
      <c r="AB16" s="36">
        <f t="shared" si="1"/>
        <v>0.49480000000000002</v>
      </c>
      <c r="AC16" s="36">
        <f t="shared" si="1"/>
        <v>0.51722000000000001</v>
      </c>
      <c r="AD16" s="36">
        <f t="shared" si="1"/>
        <v>0.53998000000000002</v>
      </c>
      <c r="AE16" s="36">
        <f t="shared" si="1"/>
        <v>0.56308000000000002</v>
      </c>
      <c r="AF16" s="36">
        <f t="shared" si="1"/>
        <v>0.58653</v>
      </c>
      <c r="AG16" t="str">
        <f t="shared" si="2"/>
        <v>B+</v>
      </c>
    </row>
    <row r="17" spans="1:33" x14ac:dyDescent="0.25">
      <c r="A17" t="s">
        <v>308</v>
      </c>
      <c r="B17" s="36">
        <v>0.02</v>
      </c>
      <c r="C17" s="36">
        <f>MIN(0.975,ROUND((1+$B17)^C$26-1,5))</f>
        <v>4.0399999999999998E-2</v>
      </c>
      <c r="D17" s="36">
        <f t="shared" ref="D17:AF17" si="3">MIN(0.975,ROUND((1+$B17)^D$26-1,5))</f>
        <v>6.1210000000000001E-2</v>
      </c>
      <c r="E17" s="36">
        <f t="shared" si="3"/>
        <v>8.2430000000000003E-2</v>
      </c>
      <c r="F17" s="36">
        <f t="shared" si="3"/>
        <v>0.10408000000000001</v>
      </c>
      <c r="G17" s="36">
        <f t="shared" si="3"/>
        <v>0.12615999999999999</v>
      </c>
      <c r="H17" s="36">
        <f t="shared" si="3"/>
        <v>0.14868999999999999</v>
      </c>
      <c r="I17" s="36">
        <f t="shared" si="3"/>
        <v>0.17166000000000001</v>
      </c>
      <c r="J17" s="36">
        <f t="shared" si="3"/>
        <v>0.19509000000000001</v>
      </c>
      <c r="K17" s="36">
        <f t="shared" si="3"/>
        <v>0.21898999999999999</v>
      </c>
      <c r="L17" s="36">
        <f t="shared" si="3"/>
        <v>0.24337</v>
      </c>
      <c r="M17" s="36">
        <f t="shared" si="3"/>
        <v>0.26823999999999998</v>
      </c>
      <c r="N17" s="36">
        <f t="shared" si="3"/>
        <v>0.29360999999999998</v>
      </c>
      <c r="O17" s="36">
        <f t="shared" si="3"/>
        <v>0.31947999999999999</v>
      </c>
      <c r="P17" s="36">
        <f t="shared" si="3"/>
        <v>0.34587000000000001</v>
      </c>
      <c r="Q17" s="36">
        <f t="shared" si="3"/>
        <v>0.37279000000000001</v>
      </c>
      <c r="R17" s="36">
        <f t="shared" si="3"/>
        <v>0.40023999999999998</v>
      </c>
      <c r="S17" s="36">
        <f t="shared" si="3"/>
        <v>0.42825000000000002</v>
      </c>
      <c r="T17" s="36">
        <f t="shared" si="3"/>
        <v>0.45680999999999999</v>
      </c>
      <c r="U17" s="36">
        <f t="shared" si="3"/>
        <v>0.48594999999999999</v>
      </c>
      <c r="V17" s="36">
        <f t="shared" si="3"/>
        <v>0.51566999999999996</v>
      </c>
      <c r="W17" s="36">
        <f t="shared" si="3"/>
        <v>0.54598000000000002</v>
      </c>
      <c r="X17" s="36">
        <f t="shared" si="3"/>
        <v>0.57689999999999997</v>
      </c>
      <c r="Y17" s="36">
        <f t="shared" si="3"/>
        <v>0.60843999999999998</v>
      </c>
      <c r="Z17" s="36">
        <f t="shared" si="3"/>
        <v>0.64061000000000001</v>
      </c>
      <c r="AA17" s="36">
        <f t="shared" si="3"/>
        <v>0.67342000000000002</v>
      </c>
      <c r="AB17" s="36">
        <f t="shared" si="3"/>
        <v>0.70689000000000002</v>
      </c>
      <c r="AC17" s="36">
        <f t="shared" si="3"/>
        <v>0.74102000000000001</v>
      </c>
      <c r="AD17" s="36">
        <f t="shared" si="3"/>
        <v>0.77583999999999997</v>
      </c>
      <c r="AE17" s="36">
        <f t="shared" si="3"/>
        <v>0.81135999999999997</v>
      </c>
      <c r="AF17" s="36">
        <f t="shared" si="3"/>
        <v>0.84758999999999995</v>
      </c>
      <c r="AG17" t="str">
        <f t="shared" si="2"/>
        <v>B</v>
      </c>
    </row>
    <row r="18" spans="1:33" x14ac:dyDescent="0.25">
      <c r="A18" t="s">
        <v>309</v>
      </c>
      <c r="B18" s="36">
        <v>0.03</v>
      </c>
      <c r="C18" s="36">
        <f>MIN(0.98,ROUND((1+$B18)^C$26-1,5))</f>
        <v>6.0900000000000003E-2</v>
      </c>
      <c r="D18" s="36">
        <f t="shared" ref="D18:AF18" si="4">MIN(0.98,ROUND((1+$B18)^D$26-1,5))</f>
        <v>9.2730000000000007E-2</v>
      </c>
      <c r="E18" s="36">
        <f t="shared" si="4"/>
        <v>0.12551000000000001</v>
      </c>
      <c r="F18" s="36">
        <f t="shared" si="4"/>
        <v>0.15926999999999999</v>
      </c>
      <c r="G18" s="36">
        <f t="shared" si="4"/>
        <v>0.19405</v>
      </c>
      <c r="H18" s="36">
        <f t="shared" si="4"/>
        <v>0.22986999999999999</v>
      </c>
      <c r="I18" s="36">
        <f t="shared" si="4"/>
        <v>0.26677000000000001</v>
      </c>
      <c r="J18" s="36">
        <f t="shared" si="4"/>
        <v>0.30476999999999999</v>
      </c>
      <c r="K18" s="36">
        <f t="shared" si="4"/>
        <v>0.34392</v>
      </c>
      <c r="L18" s="36">
        <f t="shared" si="4"/>
        <v>0.38423000000000002</v>
      </c>
      <c r="M18" s="36">
        <f t="shared" si="4"/>
        <v>0.42576000000000003</v>
      </c>
      <c r="N18" s="36">
        <f t="shared" si="4"/>
        <v>0.46853</v>
      </c>
      <c r="O18" s="36">
        <f t="shared" si="4"/>
        <v>0.51258999999999999</v>
      </c>
      <c r="P18" s="36">
        <f t="shared" si="4"/>
        <v>0.55796999999999997</v>
      </c>
      <c r="Q18" s="36">
        <f t="shared" si="4"/>
        <v>0.60470999999999997</v>
      </c>
      <c r="R18" s="36">
        <f t="shared" si="4"/>
        <v>0.65285000000000004</v>
      </c>
      <c r="S18" s="36">
        <f t="shared" si="4"/>
        <v>0.70243</v>
      </c>
      <c r="T18" s="36">
        <f t="shared" si="4"/>
        <v>0.75351000000000001</v>
      </c>
      <c r="U18" s="36">
        <f t="shared" si="4"/>
        <v>0.80610999999999999</v>
      </c>
      <c r="V18" s="36">
        <f t="shared" si="4"/>
        <v>0.86029</v>
      </c>
      <c r="W18" s="36">
        <f t="shared" si="4"/>
        <v>0.91610000000000003</v>
      </c>
      <c r="X18" s="36">
        <f t="shared" si="4"/>
        <v>0.97358999999999996</v>
      </c>
      <c r="Y18" s="36">
        <f t="shared" si="4"/>
        <v>0.98</v>
      </c>
      <c r="Z18" s="36">
        <f t="shared" si="4"/>
        <v>0.98</v>
      </c>
      <c r="AA18" s="36">
        <f t="shared" si="4"/>
        <v>0.98</v>
      </c>
      <c r="AB18" s="36">
        <f t="shared" si="4"/>
        <v>0.98</v>
      </c>
      <c r="AC18" s="36">
        <f t="shared" si="4"/>
        <v>0.98</v>
      </c>
      <c r="AD18" s="36">
        <f t="shared" si="4"/>
        <v>0.98</v>
      </c>
      <c r="AE18" s="36">
        <f t="shared" si="4"/>
        <v>0.98</v>
      </c>
      <c r="AF18" s="36">
        <f t="shared" si="4"/>
        <v>0.98</v>
      </c>
      <c r="AG18" t="str">
        <f t="shared" si="2"/>
        <v>B-</v>
      </c>
    </row>
    <row r="19" spans="1:33" x14ac:dyDescent="0.25">
      <c r="A19" t="s">
        <v>310</v>
      </c>
      <c r="B19" s="36">
        <v>0.05</v>
      </c>
      <c r="C19" s="36">
        <f>MIN(0.985,ROUND((1+$B19)^C$26-1,5))</f>
        <v>0.10249999999999999</v>
      </c>
      <c r="D19" s="36">
        <f t="shared" ref="D19:AF19" si="5">MIN(0.985,ROUND((1+$B19)^D$26-1,5))</f>
        <v>0.15762999999999999</v>
      </c>
      <c r="E19" s="36">
        <f t="shared" si="5"/>
        <v>0.21551000000000001</v>
      </c>
      <c r="F19" s="36">
        <f t="shared" si="5"/>
        <v>0.27628000000000003</v>
      </c>
      <c r="G19" s="36">
        <f t="shared" si="5"/>
        <v>0.34010000000000001</v>
      </c>
      <c r="H19" s="36">
        <f t="shared" si="5"/>
        <v>0.40710000000000002</v>
      </c>
      <c r="I19" s="36">
        <f t="shared" si="5"/>
        <v>0.47746</v>
      </c>
      <c r="J19" s="36">
        <f t="shared" si="5"/>
        <v>0.55132999999999999</v>
      </c>
      <c r="K19" s="36">
        <f t="shared" si="5"/>
        <v>0.62888999999999995</v>
      </c>
      <c r="L19" s="36">
        <f t="shared" si="5"/>
        <v>0.71033999999999997</v>
      </c>
      <c r="M19" s="36">
        <f t="shared" si="5"/>
        <v>0.79586000000000001</v>
      </c>
      <c r="N19" s="36">
        <f t="shared" si="5"/>
        <v>0.88565000000000005</v>
      </c>
      <c r="O19" s="36">
        <f t="shared" si="5"/>
        <v>0.97992999999999997</v>
      </c>
      <c r="P19" s="36">
        <f t="shared" si="5"/>
        <v>0.98499999999999999</v>
      </c>
      <c r="Q19" s="36">
        <f t="shared" si="5"/>
        <v>0.98499999999999999</v>
      </c>
      <c r="R19" s="36">
        <f t="shared" si="5"/>
        <v>0.98499999999999999</v>
      </c>
      <c r="S19" s="36">
        <f t="shared" si="5"/>
        <v>0.98499999999999999</v>
      </c>
      <c r="T19" s="36">
        <f t="shared" si="5"/>
        <v>0.98499999999999999</v>
      </c>
      <c r="U19" s="36">
        <f t="shared" si="5"/>
        <v>0.98499999999999999</v>
      </c>
      <c r="V19" s="36">
        <f t="shared" si="5"/>
        <v>0.98499999999999999</v>
      </c>
      <c r="W19" s="36">
        <f t="shared" si="5"/>
        <v>0.98499999999999999</v>
      </c>
      <c r="X19" s="36">
        <f t="shared" si="5"/>
        <v>0.98499999999999999</v>
      </c>
      <c r="Y19" s="36">
        <f t="shared" si="5"/>
        <v>0.98499999999999999</v>
      </c>
      <c r="Z19" s="36">
        <f t="shared" si="5"/>
        <v>0.98499999999999999</v>
      </c>
      <c r="AA19" s="36">
        <f t="shared" si="5"/>
        <v>0.98499999999999999</v>
      </c>
      <c r="AB19" s="36">
        <f t="shared" si="5"/>
        <v>0.98499999999999999</v>
      </c>
      <c r="AC19" s="36">
        <f t="shared" si="5"/>
        <v>0.98499999999999999</v>
      </c>
      <c r="AD19" s="36">
        <f t="shared" si="5"/>
        <v>0.98499999999999999</v>
      </c>
      <c r="AE19" s="36">
        <f t="shared" si="5"/>
        <v>0.98499999999999999</v>
      </c>
      <c r="AF19" s="36">
        <f t="shared" si="5"/>
        <v>0.98499999999999999</v>
      </c>
      <c r="AG19" t="str">
        <f t="shared" si="2"/>
        <v>CCC+</v>
      </c>
    </row>
    <row r="20" spans="1:33" x14ac:dyDescent="0.25">
      <c r="A20" t="s">
        <v>311</v>
      </c>
      <c r="B20" s="36">
        <v>0.08</v>
      </c>
      <c r="C20" s="36">
        <f>MIN(0.99,ROUND((1+$B20)^C$26-1,5))</f>
        <v>0.16639999999999999</v>
      </c>
      <c r="D20" s="36">
        <f t="shared" ref="D20:AF20" si="6">MIN(0.99,ROUND((1+$B20)^D$26-1,5))</f>
        <v>0.25971</v>
      </c>
      <c r="E20" s="36">
        <f t="shared" si="6"/>
        <v>0.36048999999999998</v>
      </c>
      <c r="F20" s="36">
        <f t="shared" si="6"/>
        <v>0.46933000000000002</v>
      </c>
      <c r="G20" s="36">
        <f t="shared" si="6"/>
        <v>0.58687</v>
      </c>
      <c r="H20" s="36">
        <f t="shared" si="6"/>
        <v>0.71382000000000001</v>
      </c>
      <c r="I20" s="36">
        <f t="shared" si="6"/>
        <v>0.85092999999999996</v>
      </c>
      <c r="J20" s="36">
        <f t="shared" si="6"/>
        <v>0.99</v>
      </c>
      <c r="K20" s="36">
        <f t="shared" si="6"/>
        <v>0.99</v>
      </c>
      <c r="L20" s="36">
        <f t="shared" si="6"/>
        <v>0.99</v>
      </c>
      <c r="M20" s="36">
        <f t="shared" si="6"/>
        <v>0.99</v>
      </c>
      <c r="N20" s="36">
        <f t="shared" si="6"/>
        <v>0.99</v>
      </c>
      <c r="O20" s="36">
        <f t="shared" si="6"/>
        <v>0.99</v>
      </c>
      <c r="P20" s="36">
        <f t="shared" si="6"/>
        <v>0.99</v>
      </c>
      <c r="Q20" s="36">
        <f t="shared" si="6"/>
        <v>0.99</v>
      </c>
      <c r="R20" s="36">
        <f t="shared" si="6"/>
        <v>0.99</v>
      </c>
      <c r="S20" s="36">
        <f t="shared" si="6"/>
        <v>0.99</v>
      </c>
      <c r="T20" s="36">
        <f t="shared" si="6"/>
        <v>0.99</v>
      </c>
      <c r="U20" s="36">
        <f t="shared" si="6"/>
        <v>0.99</v>
      </c>
      <c r="V20" s="36">
        <f t="shared" si="6"/>
        <v>0.99</v>
      </c>
      <c r="W20" s="36">
        <f t="shared" si="6"/>
        <v>0.99</v>
      </c>
      <c r="X20" s="36">
        <f t="shared" si="6"/>
        <v>0.99</v>
      </c>
      <c r="Y20" s="36">
        <f t="shared" si="6"/>
        <v>0.99</v>
      </c>
      <c r="Z20" s="36">
        <f t="shared" si="6"/>
        <v>0.99</v>
      </c>
      <c r="AA20" s="36">
        <f t="shared" si="6"/>
        <v>0.99</v>
      </c>
      <c r="AB20" s="36">
        <f t="shared" si="6"/>
        <v>0.99</v>
      </c>
      <c r="AC20" s="36">
        <f t="shared" si="6"/>
        <v>0.99</v>
      </c>
      <c r="AD20" s="36">
        <f t="shared" si="6"/>
        <v>0.99</v>
      </c>
      <c r="AE20" s="36">
        <f t="shared" si="6"/>
        <v>0.99</v>
      </c>
      <c r="AF20" s="36">
        <f t="shared" si="6"/>
        <v>0.99</v>
      </c>
      <c r="AG20" t="str">
        <f t="shared" si="2"/>
        <v>CCC</v>
      </c>
    </row>
    <row r="21" spans="1:33" x14ac:dyDescent="0.25">
      <c r="A21" t="s">
        <v>312</v>
      </c>
      <c r="B21" s="36">
        <v>0.12</v>
      </c>
      <c r="C21" s="36">
        <f>MIN(0.995,ROUND((1+$B21)^C$26-1,5))</f>
        <v>0.25440000000000002</v>
      </c>
      <c r="D21" s="36">
        <f t="shared" ref="D21:AF21" si="7">MIN(0.995,ROUND((1+$B21)^D$26-1,5))</f>
        <v>0.40493000000000001</v>
      </c>
      <c r="E21" s="36">
        <f t="shared" si="7"/>
        <v>0.57352000000000003</v>
      </c>
      <c r="F21" s="36">
        <f t="shared" si="7"/>
        <v>0.76234000000000002</v>
      </c>
      <c r="G21" s="36">
        <f t="shared" si="7"/>
        <v>0.97382000000000002</v>
      </c>
      <c r="H21" s="36">
        <f t="shared" si="7"/>
        <v>0.995</v>
      </c>
      <c r="I21" s="36">
        <f t="shared" si="7"/>
        <v>0.995</v>
      </c>
      <c r="J21" s="36">
        <f t="shared" si="7"/>
        <v>0.995</v>
      </c>
      <c r="K21" s="36">
        <f t="shared" si="7"/>
        <v>0.995</v>
      </c>
      <c r="L21" s="36">
        <f t="shared" si="7"/>
        <v>0.995</v>
      </c>
      <c r="M21" s="36">
        <f t="shared" si="7"/>
        <v>0.995</v>
      </c>
      <c r="N21" s="36">
        <f t="shared" si="7"/>
        <v>0.995</v>
      </c>
      <c r="O21" s="36">
        <f t="shared" si="7"/>
        <v>0.995</v>
      </c>
      <c r="P21" s="36">
        <f t="shared" si="7"/>
        <v>0.995</v>
      </c>
      <c r="Q21" s="36">
        <f t="shared" si="7"/>
        <v>0.995</v>
      </c>
      <c r="R21" s="36">
        <f t="shared" si="7"/>
        <v>0.995</v>
      </c>
      <c r="S21" s="36">
        <f t="shared" si="7"/>
        <v>0.995</v>
      </c>
      <c r="T21" s="36">
        <f t="shared" si="7"/>
        <v>0.995</v>
      </c>
      <c r="U21" s="36">
        <f t="shared" si="7"/>
        <v>0.995</v>
      </c>
      <c r="V21" s="36">
        <f t="shared" si="7"/>
        <v>0.995</v>
      </c>
      <c r="W21" s="36">
        <f t="shared" si="7"/>
        <v>0.995</v>
      </c>
      <c r="X21" s="36">
        <f t="shared" si="7"/>
        <v>0.995</v>
      </c>
      <c r="Y21" s="36">
        <f t="shared" si="7"/>
        <v>0.995</v>
      </c>
      <c r="Z21" s="36">
        <f t="shared" si="7"/>
        <v>0.995</v>
      </c>
      <c r="AA21" s="36">
        <f t="shared" si="7"/>
        <v>0.995</v>
      </c>
      <c r="AB21" s="36">
        <f t="shared" si="7"/>
        <v>0.995</v>
      </c>
      <c r="AC21" s="36">
        <f t="shared" si="7"/>
        <v>0.995</v>
      </c>
      <c r="AD21" s="36">
        <f t="shared" si="7"/>
        <v>0.995</v>
      </c>
      <c r="AE21" s="36">
        <f t="shared" si="7"/>
        <v>0.995</v>
      </c>
      <c r="AF21" s="36">
        <f t="shared" si="7"/>
        <v>0.995</v>
      </c>
      <c r="AG21" t="str">
        <f t="shared" si="2"/>
        <v>CCC-</v>
      </c>
    </row>
    <row r="22" spans="1:33" x14ac:dyDescent="0.25">
      <c r="A22" t="s">
        <v>313</v>
      </c>
      <c r="B22" s="36">
        <v>0.25</v>
      </c>
      <c r="C22" s="36">
        <f>MIN(0.999,ROUND((1+$B22)^C$26-1,5))</f>
        <v>0.5625</v>
      </c>
      <c r="D22" s="36">
        <f t="shared" ref="D22:AF22" si="8">MIN(0.999,ROUND((1+$B22)^D$26-1,5))</f>
        <v>0.95313000000000003</v>
      </c>
      <c r="E22" s="36">
        <f t="shared" si="8"/>
        <v>0.999</v>
      </c>
      <c r="F22" s="36">
        <f t="shared" si="8"/>
        <v>0.999</v>
      </c>
      <c r="G22" s="36">
        <f t="shared" si="8"/>
        <v>0.999</v>
      </c>
      <c r="H22" s="36">
        <f t="shared" si="8"/>
        <v>0.999</v>
      </c>
      <c r="I22" s="36">
        <f t="shared" si="8"/>
        <v>0.999</v>
      </c>
      <c r="J22" s="36">
        <f t="shared" si="8"/>
        <v>0.999</v>
      </c>
      <c r="K22" s="36">
        <f t="shared" si="8"/>
        <v>0.999</v>
      </c>
      <c r="L22" s="36">
        <f t="shared" si="8"/>
        <v>0.999</v>
      </c>
      <c r="M22" s="36">
        <f t="shared" si="8"/>
        <v>0.999</v>
      </c>
      <c r="N22" s="36">
        <f t="shared" si="8"/>
        <v>0.999</v>
      </c>
      <c r="O22" s="36">
        <f t="shared" si="8"/>
        <v>0.999</v>
      </c>
      <c r="P22" s="36">
        <f t="shared" si="8"/>
        <v>0.999</v>
      </c>
      <c r="Q22" s="36">
        <f t="shared" si="8"/>
        <v>0.999</v>
      </c>
      <c r="R22" s="36">
        <f t="shared" si="8"/>
        <v>0.999</v>
      </c>
      <c r="S22" s="36">
        <f t="shared" si="8"/>
        <v>0.999</v>
      </c>
      <c r="T22" s="36">
        <f t="shared" si="8"/>
        <v>0.999</v>
      </c>
      <c r="U22" s="36">
        <f t="shared" si="8"/>
        <v>0.999</v>
      </c>
      <c r="V22" s="36">
        <f t="shared" si="8"/>
        <v>0.999</v>
      </c>
      <c r="W22" s="36">
        <f t="shared" si="8"/>
        <v>0.999</v>
      </c>
      <c r="X22" s="36">
        <f t="shared" si="8"/>
        <v>0.999</v>
      </c>
      <c r="Y22" s="36">
        <f t="shared" si="8"/>
        <v>0.999</v>
      </c>
      <c r="Z22" s="36">
        <f t="shared" si="8"/>
        <v>0.999</v>
      </c>
      <c r="AA22" s="36">
        <f t="shared" si="8"/>
        <v>0.999</v>
      </c>
      <c r="AB22" s="36">
        <f t="shared" si="8"/>
        <v>0.999</v>
      </c>
      <c r="AC22" s="36">
        <f t="shared" si="8"/>
        <v>0.999</v>
      </c>
      <c r="AD22" s="36">
        <f t="shared" si="8"/>
        <v>0.999</v>
      </c>
      <c r="AE22" s="36">
        <f t="shared" si="8"/>
        <v>0.999</v>
      </c>
      <c r="AF22" s="36">
        <f t="shared" si="8"/>
        <v>0.999</v>
      </c>
      <c r="AG22" t="str">
        <f t="shared" si="2"/>
        <v>CC</v>
      </c>
    </row>
    <row r="23" spans="1:33" x14ac:dyDescent="0.25">
      <c r="A23" t="s">
        <v>314</v>
      </c>
      <c r="B23" s="36">
        <v>0.5</v>
      </c>
      <c r="C23" s="36">
        <f>MIN(0.9999,ROUND((1+$B23)^C$26-1,5))</f>
        <v>0.99990000000000001</v>
      </c>
      <c r="D23" s="36">
        <f t="shared" ref="D23:AF23" si="9">MIN(0.9999,ROUND((1+$B23)^D$26-1,5))</f>
        <v>0.99990000000000001</v>
      </c>
      <c r="E23" s="36">
        <f t="shared" si="9"/>
        <v>0.99990000000000001</v>
      </c>
      <c r="F23" s="36">
        <f t="shared" si="9"/>
        <v>0.99990000000000001</v>
      </c>
      <c r="G23" s="36">
        <f t="shared" si="9"/>
        <v>0.99990000000000001</v>
      </c>
      <c r="H23" s="36">
        <f t="shared" si="9"/>
        <v>0.99990000000000001</v>
      </c>
      <c r="I23" s="36">
        <f t="shared" si="9"/>
        <v>0.99990000000000001</v>
      </c>
      <c r="J23" s="36">
        <f t="shared" si="9"/>
        <v>0.99990000000000001</v>
      </c>
      <c r="K23" s="36">
        <f t="shared" si="9"/>
        <v>0.99990000000000001</v>
      </c>
      <c r="L23" s="36">
        <f t="shared" si="9"/>
        <v>0.99990000000000001</v>
      </c>
      <c r="M23" s="36">
        <f t="shared" si="9"/>
        <v>0.99990000000000001</v>
      </c>
      <c r="N23" s="36">
        <f t="shared" si="9"/>
        <v>0.99990000000000001</v>
      </c>
      <c r="O23" s="36">
        <f t="shared" si="9"/>
        <v>0.99990000000000001</v>
      </c>
      <c r="P23" s="36">
        <f t="shared" si="9"/>
        <v>0.99990000000000001</v>
      </c>
      <c r="Q23" s="36">
        <f t="shared" si="9"/>
        <v>0.99990000000000001</v>
      </c>
      <c r="R23" s="36">
        <f t="shared" si="9"/>
        <v>0.99990000000000001</v>
      </c>
      <c r="S23" s="36">
        <f t="shared" si="9"/>
        <v>0.99990000000000001</v>
      </c>
      <c r="T23" s="36">
        <f t="shared" si="9"/>
        <v>0.99990000000000001</v>
      </c>
      <c r="U23" s="36">
        <f t="shared" si="9"/>
        <v>0.99990000000000001</v>
      </c>
      <c r="V23" s="36">
        <f t="shared" si="9"/>
        <v>0.99990000000000001</v>
      </c>
      <c r="W23" s="36">
        <f t="shared" si="9"/>
        <v>0.99990000000000001</v>
      </c>
      <c r="X23" s="36">
        <f t="shared" si="9"/>
        <v>0.99990000000000001</v>
      </c>
      <c r="Y23" s="36">
        <f t="shared" si="9"/>
        <v>0.99990000000000001</v>
      </c>
      <c r="Z23" s="36">
        <f t="shared" si="9"/>
        <v>0.99990000000000001</v>
      </c>
      <c r="AA23" s="36">
        <f t="shared" si="9"/>
        <v>0.99990000000000001</v>
      </c>
      <c r="AB23" s="36">
        <f t="shared" si="9"/>
        <v>0.99990000000000001</v>
      </c>
      <c r="AC23" s="36">
        <f t="shared" si="9"/>
        <v>0.99990000000000001</v>
      </c>
      <c r="AD23" s="36">
        <f t="shared" si="9"/>
        <v>0.99990000000000001</v>
      </c>
      <c r="AE23" s="36">
        <f t="shared" si="9"/>
        <v>0.99990000000000001</v>
      </c>
      <c r="AF23" s="36">
        <f t="shared" si="9"/>
        <v>0.99990000000000001</v>
      </c>
      <c r="AG23" t="str">
        <f t="shared" si="2"/>
        <v>C</v>
      </c>
    </row>
    <row r="24" spans="1:33" x14ac:dyDescent="0.25">
      <c r="A24" t="s">
        <v>315</v>
      </c>
      <c r="B24" s="36">
        <v>1</v>
      </c>
      <c r="C24" s="36">
        <f>MIN(1,ROUND((1+$B24)^C$26-1,5))</f>
        <v>1</v>
      </c>
      <c r="D24" s="36">
        <f t="shared" ref="D24:AF24" si="10">MIN(1,ROUND((1+$B24)^D$26-1,5))</f>
        <v>1</v>
      </c>
      <c r="E24" s="36">
        <f t="shared" si="10"/>
        <v>1</v>
      </c>
      <c r="F24" s="36">
        <f t="shared" si="10"/>
        <v>1</v>
      </c>
      <c r="G24" s="36">
        <f t="shared" si="10"/>
        <v>1</v>
      </c>
      <c r="H24" s="36">
        <f t="shared" si="10"/>
        <v>1</v>
      </c>
      <c r="I24" s="36">
        <f t="shared" si="10"/>
        <v>1</v>
      </c>
      <c r="J24" s="36">
        <f t="shared" si="10"/>
        <v>1</v>
      </c>
      <c r="K24" s="36">
        <f t="shared" si="10"/>
        <v>1</v>
      </c>
      <c r="L24" s="36">
        <f t="shared" si="10"/>
        <v>1</v>
      </c>
      <c r="M24" s="36">
        <f t="shared" si="10"/>
        <v>1</v>
      </c>
      <c r="N24" s="36">
        <f t="shared" si="10"/>
        <v>1</v>
      </c>
      <c r="O24" s="36">
        <f t="shared" si="10"/>
        <v>1</v>
      </c>
      <c r="P24" s="36">
        <f t="shared" si="10"/>
        <v>1</v>
      </c>
      <c r="Q24" s="36">
        <f t="shared" si="10"/>
        <v>1</v>
      </c>
      <c r="R24" s="36">
        <f t="shared" si="10"/>
        <v>1</v>
      </c>
      <c r="S24" s="36">
        <f t="shared" si="10"/>
        <v>1</v>
      </c>
      <c r="T24" s="36">
        <f t="shared" si="10"/>
        <v>1</v>
      </c>
      <c r="U24" s="36">
        <f t="shared" si="10"/>
        <v>1</v>
      </c>
      <c r="V24" s="36">
        <f t="shared" si="10"/>
        <v>1</v>
      </c>
      <c r="W24" s="36">
        <f t="shared" si="10"/>
        <v>1</v>
      </c>
      <c r="X24" s="36">
        <f t="shared" si="10"/>
        <v>1</v>
      </c>
      <c r="Y24" s="36">
        <f t="shared" si="10"/>
        <v>1</v>
      </c>
      <c r="Z24" s="36">
        <f t="shared" si="10"/>
        <v>1</v>
      </c>
      <c r="AA24" s="36">
        <f t="shared" si="10"/>
        <v>1</v>
      </c>
      <c r="AB24" s="36">
        <f t="shared" si="10"/>
        <v>1</v>
      </c>
      <c r="AC24" s="36">
        <f t="shared" si="10"/>
        <v>1</v>
      </c>
      <c r="AD24" s="36">
        <f t="shared" si="10"/>
        <v>1</v>
      </c>
      <c r="AE24" s="36">
        <f t="shared" si="10"/>
        <v>1</v>
      </c>
      <c r="AF24" s="36">
        <f t="shared" si="10"/>
        <v>1</v>
      </c>
      <c r="AG24" t="s">
        <v>315</v>
      </c>
    </row>
    <row r="26" spans="1:33" x14ac:dyDescent="0.25">
      <c r="B26" s="37">
        <v>1</v>
      </c>
      <c r="C26">
        <v>2</v>
      </c>
      <c r="D26">
        <v>3</v>
      </c>
      <c r="E26">
        <v>4</v>
      </c>
      <c r="F26">
        <v>5</v>
      </c>
      <c r="G26">
        <v>6</v>
      </c>
      <c r="H26">
        <v>7</v>
      </c>
      <c r="I26">
        <v>8</v>
      </c>
      <c r="J26">
        <v>9</v>
      </c>
      <c r="K26">
        <v>10</v>
      </c>
      <c r="L26">
        <v>11</v>
      </c>
      <c r="M26">
        <v>12</v>
      </c>
      <c r="N26">
        <v>13</v>
      </c>
      <c r="O26">
        <v>14</v>
      </c>
      <c r="P26">
        <v>15</v>
      </c>
      <c r="Q26">
        <v>16</v>
      </c>
      <c r="R26">
        <v>17</v>
      </c>
      <c r="S26">
        <v>18</v>
      </c>
      <c r="T26">
        <v>19</v>
      </c>
      <c r="U26">
        <v>20</v>
      </c>
      <c r="V26">
        <v>21</v>
      </c>
      <c r="W26">
        <v>22</v>
      </c>
      <c r="X26">
        <v>23</v>
      </c>
      <c r="Y26">
        <v>24</v>
      </c>
      <c r="Z26">
        <v>25</v>
      </c>
      <c r="AA26">
        <v>26</v>
      </c>
      <c r="AB26">
        <v>27</v>
      </c>
      <c r="AC26">
        <v>28</v>
      </c>
      <c r="AD26">
        <v>29</v>
      </c>
      <c r="AE26">
        <v>30</v>
      </c>
      <c r="AF26">
        <v>31</v>
      </c>
    </row>
  </sheetData>
  <mergeCells count="1">
    <mergeCell ref="B1:AF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41"/>
  <sheetViews>
    <sheetView workbookViewId="0"/>
  </sheetViews>
  <sheetFormatPr defaultRowHeight="15" x14ac:dyDescent="0.25"/>
  <cols>
    <col min="1" max="1" width="20.42578125" style="37" bestFit="1" customWidth="1"/>
    <col min="2" max="2" width="29.85546875" style="37" bestFit="1" customWidth="1"/>
    <col min="3" max="3" width="18" style="37" bestFit="1" customWidth="1"/>
    <col min="4" max="4" width="24.28515625" style="37" bestFit="1" customWidth="1"/>
    <col min="5" max="5" width="28.85546875" style="37" bestFit="1" customWidth="1"/>
    <col min="6" max="6" width="16.5703125" style="37" bestFit="1" customWidth="1"/>
    <col min="7" max="7" width="9.140625" style="37"/>
    <col min="8" max="8" width="39.42578125" style="37" bestFit="1" customWidth="1"/>
    <col min="9" max="9" width="39.7109375" style="37" bestFit="1" customWidth="1"/>
    <col min="10" max="16384" width="9.140625" style="37"/>
  </cols>
  <sheetData>
    <row r="1" spans="1:9" x14ac:dyDescent="0.25">
      <c r="A1" s="37" t="s">
        <v>371</v>
      </c>
      <c r="B1" s="75"/>
    </row>
    <row r="2" spans="1:9" x14ac:dyDescent="0.25">
      <c r="A2" s="37" t="s">
        <v>2</v>
      </c>
      <c r="B2" s="75" t="s">
        <v>329</v>
      </c>
    </row>
    <row r="3" spans="1:9" x14ac:dyDescent="0.25">
      <c r="A3" s="37" t="s">
        <v>3</v>
      </c>
      <c r="B3" s="75" t="s">
        <v>330</v>
      </c>
    </row>
    <row r="4" spans="1:9" x14ac:dyDescent="0.25">
      <c r="A4" s="37" t="s">
        <v>370</v>
      </c>
      <c r="B4" s="75" t="s">
        <v>129</v>
      </c>
    </row>
    <row r="5" spans="1:9" x14ac:dyDescent="0.25">
      <c r="A5" s="37" t="s">
        <v>369</v>
      </c>
      <c r="B5" s="75">
        <v>1000000</v>
      </c>
    </row>
    <row r="6" spans="1:9" x14ac:dyDescent="0.25">
      <c r="A6" s="37" t="s">
        <v>368</v>
      </c>
      <c r="B6" s="37" t="s">
        <v>367</v>
      </c>
    </row>
    <row r="8" spans="1:9" x14ac:dyDescent="0.25">
      <c r="A8" s="37" t="s">
        <v>366</v>
      </c>
      <c r="B8" s="37" t="s">
        <v>365</v>
      </c>
      <c r="C8" s="37" t="s">
        <v>364</v>
      </c>
      <c r="D8" s="37" t="s">
        <v>363</v>
      </c>
      <c r="E8" s="37" t="s">
        <v>362</v>
      </c>
      <c r="F8" s="37" t="s">
        <v>361</v>
      </c>
      <c r="H8" s="37" t="s">
        <v>360</v>
      </c>
      <c r="I8" s="37" t="s">
        <v>359</v>
      </c>
    </row>
    <row r="9" spans="1:9" x14ac:dyDescent="0.25">
      <c r="A9" s="37">
        <v>2011</v>
      </c>
      <c r="B9" s="37">
        <v>0</v>
      </c>
      <c r="C9" s="77">
        <v>0</v>
      </c>
      <c r="D9" s="37">
        <v>0</v>
      </c>
      <c r="E9" s="77">
        <v>0</v>
      </c>
      <c r="F9" s="37" t="s">
        <v>358</v>
      </c>
      <c r="H9" s="74">
        <v>8.7999999999999995E-2</v>
      </c>
      <c r="I9" s="77">
        <v>8.7999999999999995E-2</v>
      </c>
    </row>
    <row r="10" spans="1:9" x14ac:dyDescent="0.25">
      <c r="A10" s="37">
        <v>2012</v>
      </c>
      <c r="B10" s="37">
        <v>0</v>
      </c>
      <c r="C10" s="77">
        <v>0</v>
      </c>
      <c r="D10" s="37">
        <v>0</v>
      </c>
      <c r="E10" s="77">
        <v>0</v>
      </c>
      <c r="F10" s="37" t="s">
        <v>294</v>
      </c>
      <c r="H10" s="74">
        <v>9.2399999999999996E-2</v>
      </c>
      <c r="I10" s="77">
        <v>9.2399999999999996E-2</v>
      </c>
    </row>
    <row r="11" spans="1:9" x14ac:dyDescent="0.25">
      <c r="A11" s="37">
        <v>2013</v>
      </c>
      <c r="B11" s="37">
        <v>0</v>
      </c>
      <c r="C11" s="77">
        <v>0</v>
      </c>
      <c r="D11" s="37">
        <v>0</v>
      </c>
      <c r="E11" s="77">
        <v>0</v>
      </c>
      <c r="F11" s="37" t="s">
        <v>294</v>
      </c>
      <c r="H11" s="74">
        <v>7.4700000000000003E-2</v>
      </c>
      <c r="I11" s="77">
        <v>9.06E-2</v>
      </c>
    </row>
    <row r="12" spans="1:9" x14ac:dyDescent="0.25">
      <c r="A12" s="37">
        <v>2014</v>
      </c>
      <c r="B12" s="37">
        <v>0</v>
      </c>
      <c r="C12" s="77">
        <v>0</v>
      </c>
      <c r="D12" s="37">
        <v>0</v>
      </c>
      <c r="E12" s="77">
        <v>0</v>
      </c>
      <c r="F12" s="37" t="s">
        <v>294</v>
      </c>
      <c r="H12" s="74">
        <v>6.8599999999999994E-2</v>
      </c>
      <c r="I12" s="77">
        <v>9.2399999999999996E-2</v>
      </c>
    </row>
    <row r="13" spans="1:9" x14ac:dyDescent="0.25">
      <c r="A13" s="37">
        <v>2015</v>
      </c>
      <c r="B13" s="37">
        <v>0</v>
      </c>
      <c r="C13" s="77">
        <v>0</v>
      </c>
      <c r="D13" s="37">
        <v>0</v>
      </c>
      <c r="E13" s="77">
        <v>0</v>
      </c>
      <c r="F13" s="37" t="s">
        <v>294</v>
      </c>
      <c r="H13" s="74">
        <v>6.3899999999999998E-2</v>
      </c>
      <c r="I13" s="77">
        <v>9.5399999999999999E-2</v>
      </c>
    </row>
    <row r="14" spans="1:9" x14ac:dyDescent="0.25">
      <c r="A14" s="37">
        <v>2016</v>
      </c>
      <c r="B14" s="37">
        <v>0</v>
      </c>
      <c r="C14" s="77">
        <v>0</v>
      </c>
      <c r="D14" s="37">
        <v>0</v>
      </c>
      <c r="E14" s="77">
        <v>0</v>
      </c>
      <c r="F14" s="37" t="s">
        <v>294</v>
      </c>
      <c r="H14" s="74">
        <v>5.8200000000000002E-2</v>
      </c>
      <c r="I14" s="77">
        <v>9.8400000000000001E-2</v>
      </c>
    </row>
    <row r="15" spans="1:9" x14ac:dyDescent="0.25">
      <c r="A15" s="37">
        <v>2017</v>
      </c>
      <c r="B15" s="37">
        <v>0</v>
      </c>
      <c r="C15" s="77">
        <v>0</v>
      </c>
      <c r="D15" s="37">
        <v>0</v>
      </c>
      <c r="E15" s="77">
        <v>0</v>
      </c>
      <c r="F15" s="37" t="s">
        <v>294</v>
      </c>
      <c r="H15" s="74">
        <v>5.3699999999999998E-2</v>
      </c>
      <c r="I15" s="77">
        <v>0.1008</v>
      </c>
    </row>
    <row r="16" spans="1:9" x14ac:dyDescent="0.25">
      <c r="A16" s="37">
        <v>2018</v>
      </c>
      <c r="B16" s="37">
        <v>0</v>
      </c>
      <c r="C16" s="77">
        <v>0</v>
      </c>
      <c r="D16" s="37">
        <v>0</v>
      </c>
      <c r="E16" s="77">
        <v>0</v>
      </c>
      <c r="F16" s="37" t="s">
        <v>294</v>
      </c>
      <c r="H16" s="74">
        <v>4.9099999999999998E-2</v>
      </c>
      <c r="I16" s="77">
        <v>0.1056</v>
      </c>
    </row>
    <row r="17" spans="1:9" x14ac:dyDescent="0.25">
      <c r="A17" s="37">
        <v>2019</v>
      </c>
      <c r="B17" s="37">
        <v>0</v>
      </c>
      <c r="C17" s="77">
        <v>0</v>
      </c>
      <c r="D17" s="37">
        <v>0</v>
      </c>
      <c r="E17" s="77">
        <v>0</v>
      </c>
      <c r="F17" s="37" t="s">
        <v>294</v>
      </c>
      <c r="H17" s="74">
        <v>4.4999999999999998E-2</v>
      </c>
      <c r="I17" s="77">
        <v>0.1106</v>
      </c>
    </row>
    <row r="18" spans="1:9" x14ac:dyDescent="0.25">
      <c r="A18" s="37">
        <v>2020</v>
      </c>
      <c r="B18" s="37">
        <v>0</v>
      </c>
      <c r="C18" s="77">
        <v>0</v>
      </c>
      <c r="D18" s="37">
        <v>0</v>
      </c>
      <c r="E18" s="77">
        <v>0</v>
      </c>
      <c r="F18" s="37" t="s">
        <v>294</v>
      </c>
      <c r="H18" s="74">
        <v>4.1000000000000002E-2</v>
      </c>
      <c r="I18" s="77">
        <v>0.1178</v>
      </c>
    </row>
    <row r="19" spans="1:9" x14ac:dyDescent="0.25">
      <c r="A19" s="37">
        <v>2021</v>
      </c>
      <c r="B19" s="37">
        <v>0</v>
      </c>
      <c r="C19" s="77">
        <v>0</v>
      </c>
      <c r="D19" s="37">
        <v>0</v>
      </c>
      <c r="E19" s="77">
        <v>0</v>
      </c>
      <c r="F19" s="37" t="s">
        <v>294</v>
      </c>
      <c r="H19" s="74">
        <v>3.6299999999999999E-2</v>
      </c>
      <c r="I19" s="77">
        <v>0.1229</v>
      </c>
    </row>
    <row r="20" spans="1:9" x14ac:dyDescent="0.25">
      <c r="A20" s="37">
        <v>2022</v>
      </c>
      <c r="B20" s="37">
        <v>0</v>
      </c>
      <c r="C20" s="77">
        <v>0</v>
      </c>
      <c r="D20" s="37">
        <v>0</v>
      </c>
      <c r="E20" s="77">
        <v>0</v>
      </c>
      <c r="F20" s="37" t="s">
        <v>294</v>
      </c>
      <c r="H20" s="74">
        <v>3.15E-2</v>
      </c>
      <c r="I20" s="77">
        <v>0.1331</v>
      </c>
    </row>
    <row r="21" spans="1:9" x14ac:dyDescent="0.25">
      <c r="A21" s="37">
        <v>2023</v>
      </c>
      <c r="B21" s="37">
        <v>0</v>
      </c>
      <c r="C21" s="77">
        <v>0</v>
      </c>
      <c r="D21" s="37">
        <v>0</v>
      </c>
      <c r="E21" s="77">
        <v>0</v>
      </c>
      <c r="F21" s="37" t="s">
        <v>294</v>
      </c>
      <c r="H21" s="74">
        <v>2.76E-2</v>
      </c>
      <c r="I21" s="77">
        <v>0.1419</v>
      </c>
    </row>
    <row r="22" spans="1:9" x14ac:dyDescent="0.25">
      <c r="A22" s="37">
        <v>2024</v>
      </c>
      <c r="B22" s="37">
        <v>0</v>
      </c>
      <c r="C22" s="77">
        <v>0</v>
      </c>
      <c r="D22" s="37">
        <v>0</v>
      </c>
      <c r="E22" s="77">
        <v>0</v>
      </c>
      <c r="F22" s="37" t="s">
        <v>294</v>
      </c>
      <c r="H22" s="74">
        <v>2.6200000000000001E-2</v>
      </c>
      <c r="I22" s="77">
        <v>0.15129999999999999</v>
      </c>
    </row>
    <row r="23" spans="1:9" x14ac:dyDescent="0.25">
      <c r="A23" s="37">
        <v>2025</v>
      </c>
      <c r="B23" s="37">
        <v>0</v>
      </c>
      <c r="C23" s="77">
        <v>0</v>
      </c>
      <c r="D23" s="37">
        <v>0</v>
      </c>
      <c r="E23" s="77">
        <v>0</v>
      </c>
      <c r="F23" s="37" t="s">
        <v>294</v>
      </c>
      <c r="H23" s="74">
        <v>2.46E-2</v>
      </c>
      <c r="I23" s="77">
        <v>0.16259999999999999</v>
      </c>
    </row>
    <row r="24" spans="1:9" x14ac:dyDescent="0.25">
      <c r="A24" s="37">
        <v>2026</v>
      </c>
      <c r="B24" s="37">
        <v>0</v>
      </c>
      <c r="C24" s="77">
        <v>0</v>
      </c>
      <c r="D24" s="37">
        <v>0</v>
      </c>
      <c r="E24" s="77">
        <v>0</v>
      </c>
      <c r="F24" s="37" t="s">
        <v>294</v>
      </c>
      <c r="H24" s="74">
        <v>2.47E-2</v>
      </c>
      <c r="I24" s="77">
        <v>0.1739</v>
      </c>
    </row>
    <row r="25" spans="1:9" x14ac:dyDescent="0.25">
      <c r="A25" s="37">
        <v>2027</v>
      </c>
      <c r="B25" s="37">
        <v>0</v>
      </c>
      <c r="C25" s="77">
        <v>0</v>
      </c>
      <c r="D25" s="37">
        <v>0</v>
      </c>
      <c r="E25" s="77">
        <v>0</v>
      </c>
      <c r="F25" s="37" t="s">
        <v>294</v>
      </c>
      <c r="H25" s="74">
        <v>2.5399999999999999E-2</v>
      </c>
      <c r="I25" s="77">
        <v>0.188</v>
      </c>
    </row>
    <row r="26" spans="1:9" x14ac:dyDescent="0.25">
      <c r="A26" s="37">
        <v>2028</v>
      </c>
      <c r="B26" s="37">
        <v>0</v>
      </c>
      <c r="C26" s="77">
        <v>0</v>
      </c>
      <c r="D26" s="37">
        <v>0</v>
      </c>
      <c r="E26" s="77">
        <v>0</v>
      </c>
      <c r="F26" s="37" t="s">
        <v>294</v>
      </c>
      <c r="H26" s="74">
        <v>2.4400000000000002E-2</v>
      </c>
      <c r="I26" s="77">
        <v>0.19900000000000001</v>
      </c>
    </row>
    <row r="27" spans="1:9" x14ac:dyDescent="0.25">
      <c r="A27" s="37">
        <v>2029</v>
      </c>
      <c r="B27" s="37">
        <v>0</v>
      </c>
      <c r="C27" s="77">
        <v>0</v>
      </c>
      <c r="D27" s="37">
        <v>0</v>
      </c>
      <c r="E27" s="77">
        <v>0</v>
      </c>
      <c r="F27" s="37" t="s">
        <v>294</v>
      </c>
      <c r="H27" s="74">
        <v>2.3E-2</v>
      </c>
      <c r="I27" s="77">
        <v>0.2137</v>
      </c>
    </row>
    <row r="28" spans="1:9" x14ac:dyDescent="0.25">
      <c r="A28" s="37">
        <v>2030</v>
      </c>
      <c r="B28" s="37">
        <v>0</v>
      </c>
      <c r="C28" s="77">
        <v>0</v>
      </c>
      <c r="D28" s="37">
        <v>0</v>
      </c>
      <c r="E28" s="77">
        <v>0</v>
      </c>
      <c r="F28" s="37" t="s">
        <v>294</v>
      </c>
      <c r="H28" s="74">
        <v>1.9699999999999999E-2</v>
      </c>
      <c r="I28" s="77">
        <v>0.22539999999999999</v>
      </c>
    </row>
    <row r="29" spans="1:9" x14ac:dyDescent="0.25">
      <c r="A29" s="37">
        <v>2031</v>
      </c>
      <c r="B29" s="37">
        <v>0</v>
      </c>
      <c r="C29" s="77">
        <v>0</v>
      </c>
      <c r="D29" s="37">
        <v>0</v>
      </c>
      <c r="E29" s="77">
        <v>0</v>
      </c>
      <c r="F29" s="37" t="s">
        <v>294</v>
      </c>
      <c r="H29" s="74">
        <v>1.67E-2</v>
      </c>
      <c r="I29" s="77">
        <v>0.2306</v>
      </c>
    </row>
    <row r="30" spans="1:9" x14ac:dyDescent="0.25">
      <c r="A30" s="37">
        <v>2032</v>
      </c>
      <c r="B30" s="37">
        <v>0</v>
      </c>
      <c r="C30" s="77">
        <v>0</v>
      </c>
      <c r="D30" s="37">
        <v>0</v>
      </c>
      <c r="E30" s="77">
        <v>0</v>
      </c>
      <c r="F30" s="37" t="s">
        <v>294</v>
      </c>
      <c r="H30" s="74">
        <v>1.38E-2</v>
      </c>
      <c r="I30" s="77">
        <v>0.23549999999999999</v>
      </c>
    </row>
    <row r="31" spans="1:9" x14ac:dyDescent="0.25">
      <c r="A31" s="37">
        <v>2033</v>
      </c>
      <c r="B31" s="37">
        <v>0</v>
      </c>
      <c r="C31" s="77">
        <v>0</v>
      </c>
      <c r="D31" s="37">
        <v>0</v>
      </c>
      <c r="E31" s="77">
        <v>0</v>
      </c>
      <c r="F31" s="37" t="s">
        <v>294</v>
      </c>
      <c r="H31" s="74">
        <v>1.0699999999999999E-2</v>
      </c>
      <c r="I31" s="77">
        <v>0.2447</v>
      </c>
    </row>
    <row r="32" spans="1:9" x14ac:dyDescent="0.25">
      <c r="A32" s="37">
        <v>2034</v>
      </c>
      <c r="B32" s="37">
        <v>2</v>
      </c>
      <c r="C32" s="77">
        <v>0</v>
      </c>
      <c r="D32" s="37">
        <v>2</v>
      </c>
      <c r="E32" s="77">
        <v>0</v>
      </c>
      <c r="F32" s="37" t="s">
        <v>295</v>
      </c>
      <c r="H32" s="74">
        <v>7.4000000000000003E-3</v>
      </c>
      <c r="I32" s="77">
        <v>0.25259999999999999</v>
      </c>
    </row>
    <row r="33" spans="1:9" x14ac:dyDescent="0.25">
      <c r="A33" s="37">
        <v>2035</v>
      </c>
      <c r="B33" s="37">
        <v>5</v>
      </c>
      <c r="C33" s="77">
        <v>0</v>
      </c>
      <c r="D33" s="37">
        <v>5</v>
      </c>
      <c r="E33" s="77">
        <v>0</v>
      </c>
      <c r="F33" s="37" t="s">
        <v>295</v>
      </c>
      <c r="H33" s="74">
        <v>4.1999999999999997E-3</v>
      </c>
      <c r="I33" s="77">
        <v>0.26250000000000001</v>
      </c>
    </row>
    <row r="34" spans="1:9" x14ac:dyDescent="0.25">
      <c r="A34" s="37">
        <v>2036</v>
      </c>
      <c r="B34" s="37">
        <v>25</v>
      </c>
      <c r="C34" s="77">
        <v>0</v>
      </c>
      <c r="D34" s="37">
        <v>27</v>
      </c>
      <c r="E34" s="77">
        <v>0</v>
      </c>
      <c r="F34" s="37" t="s">
        <v>295</v>
      </c>
      <c r="H34" s="74">
        <v>1.8E-3</v>
      </c>
      <c r="I34" s="77">
        <v>0.26619999999999999</v>
      </c>
    </row>
    <row r="35" spans="1:9" x14ac:dyDescent="0.25">
      <c r="A35" s="37">
        <v>2037</v>
      </c>
      <c r="B35" s="37">
        <v>71</v>
      </c>
      <c r="C35" s="77">
        <v>1E-4</v>
      </c>
      <c r="D35" s="37">
        <v>73</v>
      </c>
      <c r="E35" s="77">
        <v>1E-4</v>
      </c>
      <c r="F35" s="37" t="s">
        <v>295</v>
      </c>
      <c r="H35" s="74">
        <v>1E-4</v>
      </c>
      <c r="I35" s="77">
        <v>0.28029999999999999</v>
      </c>
    </row>
    <row r="36" spans="1:9" x14ac:dyDescent="0.25">
      <c r="A36" s="37">
        <v>2038</v>
      </c>
      <c r="B36" s="37">
        <v>174</v>
      </c>
      <c r="C36" s="77">
        <v>2.0000000000000001E-4</v>
      </c>
      <c r="D36" s="37">
        <v>180</v>
      </c>
      <c r="E36" s="77">
        <v>2.0000000000000001E-4</v>
      </c>
      <c r="F36" s="37" t="s">
        <v>295</v>
      </c>
      <c r="H36" s="74">
        <v>-1E-3</v>
      </c>
      <c r="I36" s="77">
        <v>0.28100000000000003</v>
      </c>
    </row>
    <row r="37" spans="1:9" x14ac:dyDescent="0.25">
      <c r="A37" s="37">
        <v>2039</v>
      </c>
      <c r="B37" s="37">
        <v>387</v>
      </c>
      <c r="C37" s="77">
        <v>4.0000000000000002E-4</v>
      </c>
      <c r="D37" s="37">
        <v>407</v>
      </c>
      <c r="E37" s="77">
        <v>4.0000000000000002E-4</v>
      </c>
      <c r="F37" s="37" t="s">
        <v>295</v>
      </c>
      <c r="H37" s="74">
        <v>-1.4E-3</v>
      </c>
      <c r="I37" s="77">
        <v>0.28239999999999998</v>
      </c>
    </row>
    <row r="38" spans="1:9" x14ac:dyDescent="0.25">
      <c r="A38" s="37">
        <v>2040</v>
      </c>
      <c r="B38" s="37">
        <v>794</v>
      </c>
      <c r="C38" s="77">
        <v>8.0000000000000004E-4</v>
      </c>
      <c r="D38" s="37">
        <v>857</v>
      </c>
      <c r="E38" s="77">
        <v>8.9999999999999998E-4</v>
      </c>
      <c r="F38" s="37" t="s">
        <v>295</v>
      </c>
      <c r="H38" s="74">
        <v>-1.6000000000000001E-3</v>
      </c>
      <c r="I38" s="77">
        <v>0.28960000000000002</v>
      </c>
    </row>
    <row r="39" spans="1:9" x14ac:dyDescent="0.25">
      <c r="A39" s="37">
        <v>2041</v>
      </c>
      <c r="B39" s="37">
        <v>1454</v>
      </c>
      <c r="C39" s="77">
        <v>1.5E-3</v>
      </c>
      <c r="D39" s="37">
        <v>1587</v>
      </c>
      <c r="E39" s="77">
        <v>1.6000000000000001E-3</v>
      </c>
      <c r="F39" s="37" t="s">
        <v>296</v>
      </c>
      <c r="H39" s="74">
        <v>-1.4E-3</v>
      </c>
      <c r="I39" s="77">
        <v>0.3009</v>
      </c>
    </row>
    <row r="40" spans="1:9" x14ac:dyDescent="0.25">
      <c r="A40" s="37">
        <v>2042</v>
      </c>
      <c r="B40" s="37">
        <v>2454</v>
      </c>
      <c r="C40" s="77">
        <v>2.5000000000000001E-3</v>
      </c>
      <c r="D40" s="37">
        <v>2720</v>
      </c>
      <c r="E40" s="77">
        <v>2.7000000000000001E-3</v>
      </c>
      <c r="F40" s="37" t="s">
        <v>297</v>
      </c>
      <c r="H40" s="74">
        <v>-1E-3</v>
      </c>
      <c r="I40" s="77">
        <v>0.30299999999999999</v>
      </c>
    </row>
    <row r="41" spans="1:9" x14ac:dyDescent="0.25">
      <c r="C41" s="77"/>
      <c r="E41" s="77"/>
      <c r="H41" s="74"/>
      <c r="I41" s="7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documentation</vt:lpstr>
      <vt:lpstr>model</vt:lpstr>
      <vt:lpstr>series</vt:lpstr>
      <vt:lpstr>adjustments</vt:lpstr>
      <vt:lpstr>ratingmap</vt:lpstr>
      <vt:lpstr>results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dc:creator>
  <cp:lastModifiedBy>Marc</cp:lastModifiedBy>
  <dcterms:created xsi:type="dcterms:W3CDTF">2012-01-08T23:36:44Z</dcterms:created>
  <dcterms:modified xsi:type="dcterms:W3CDTF">2012-04-08T21:47:13Z</dcterms:modified>
</cp:coreProperties>
</file>